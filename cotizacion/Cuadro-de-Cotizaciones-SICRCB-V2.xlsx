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dor Principal" sheetId="1" r:id="rId4"/>
    <sheet state="visible" name="Teclado Mouse Servidor" sheetId="2" r:id="rId5"/>
    <sheet state="visible" name="Monitores de Servidor" sheetId="3" r:id="rId6"/>
    <sheet state="visible" name="Equipo de desarrollo" sheetId="4" r:id="rId7"/>
    <sheet state="visible" name="Equipo de administrador" sheetId="5" r:id="rId8"/>
    <sheet state="visible" name="Dominio" sheetId="6" r:id="rId9"/>
    <sheet state="visible" name="Software de Microsoft Office" sheetId="7" r:id="rId10"/>
    <sheet state="visible" name="Licencia de Windows 11 pro" sheetId="8" r:id="rId11"/>
    <sheet state="visible" name="Antivirus Mcafe" sheetId="9" r:id="rId12"/>
    <sheet state="visible" name="Visual Studio" sheetId="10" r:id="rId13"/>
    <sheet state="visible" name="Servidores Locales" sheetId="11" r:id="rId14"/>
    <sheet state="visible" name="Licencia de Windows server " sheetId="12" r:id="rId15"/>
    <sheet state="visible" name="costos R.H." sheetId="13" r:id="rId16"/>
    <sheet state="visible" name="costos desarrollo" sheetId="14" r:id="rId17"/>
    <sheet state="visible" name="costos de soporte" sheetId="15" r:id="rId18"/>
    <sheet state="visible" name="costos admin" sheetId="16" r:id="rId19"/>
    <sheet state="visible" name="Justificacion Salario" sheetId="17" r:id="rId20"/>
    <sheet state="visible" name="costo total" sheetId="18" r:id="rId21"/>
  </sheets>
  <definedNames/>
  <calcPr/>
  <extLst>
    <ext uri="GoogleSheetsCustomDataVersion2">
      <go:sheetsCustomData xmlns:go="http://customooxmlschemas.google.com/" r:id="rId22" roundtripDataChecksum="qZ40R9WoOdHEdFf+Fi5eDNj02oR0+y5N4FPFpv+/6Xo="/>
    </ext>
  </extLst>
</workbook>
</file>

<file path=xl/sharedStrings.xml><?xml version="1.0" encoding="utf-8"?>
<sst xmlns="http://schemas.openxmlformats.org/spreadsheetml/2006/main" count="534" uniqueCount="313">
  <si>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</si>
  <si>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</si>
  <si>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</si>
  <si>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</si>
  <si>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</si>
  <si>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</si>
  <si>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</si>
  <si>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</si>
  <si>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</si>
  <si>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</si>
  <si>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</si>
  <si>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</si>
  <si>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</si>
  <si>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Hostinger</t>
  </si>
  <si>
    <r>
      <rPr>
        <rFont val="Arial"/>
        <color rgb="FF000000"/>
        <sz val="10.0"/>
      </rPr>
      <t>URL:</t>
    </r>
    <r>
      <rPr>
        <rFont val="Arial"/>
        <color rgb="FF0070C0"/>
        <sz val="10.0"/>
        <u/>
      </rPr>
      <t xml:space="preserve"> https://acortar.link/KBLnsG</t>
    </r>
    <r>
      <rPr>
        <rFont val="Arial"/>
        <color rgb="FF000000"/>
        <sz val="10.0"/>
      </rPr>
      <t xml:space="preserve">
</t>
    </r>
  </si>
  <si>
    <t>Servicio de Hosting Single</t>
  </si>
  <si>
    <t>Contado</t>
  </si>
  <si>
    <t>El plan Single es un hosting compartido para un solo sitio web, con 10 GB SSD, 1 buzón de correo, SSL gratuito, copias de seguridad semanales y migración sin tiempo de inactividad.</t>
  </si>
  <si>
    <t xml:space="preserve">Nº2 </t>
  </si>
  <si>
    <t>GoDaddy</t>
  </si>
  <si>
    <r>
      <rPr>
        <rFont val="Arial"/>
        <color rgb="FF000000"/>
        <sz val="10.0"/>
      </rPr>
      <t xml:space="preserve">URL: </t>
    </r>
    <r>
      <rPr>
        <rFont val="Arial"/>
        <color rgb="FF0070C0"/>
        <sz val="10.0"/>
        <u/>
      </rPr>
      <t>https://acortar.link/khth8dDd</t>
    </r>
    <r>
      <rPr>
        <rFont val="Arial"/>
        <color rgb="FF000000"/>
        <sz val="10.0"/>
      </rPr>
      <t xml:space="preserve">
Dirección:CL 81 # 11-08, Bogotá - Distrito Capital
Tel:+852-3018-8600</t>
    </r>
  </si>
  <si>
    <t>Servicio de Web Hosting Inicial</t>
  </si>
  <si>
    <t>El plan Web Hosting Inicial es un servicio de alojamiento básico que permite publicar un sitio web con almacenamiento rápido NVMe y administración mediante cPanel. Incluye 10 GB de espacio, soporte para 1 sitio web</t>
  </si>
  <si>
    <t>Nº 3</t>
  </si>
  <si>
    <t>Latinoamericahosting</t>
  </si>
  <si>
    <r>
      <rPr>
        <rFont val="Arial"/>
        <color rgb="FF000000"/>
        <sz val="10.0"/>
      </rPr>
      <t xml:space="preserve">URL: </t>
    </r>
    <r>
      <rPr>
        <rFont val="Arial"/>
        <color rgb="FF0070C0"/>
        <sz val="10.0"/>
        <u/>
      </rPr>
      <t>https://acortar.link/khSEC3</t>
    </r>
    <r>
      <rPr>
        <rFont val="Arial"/>
        <color rgb="FF000000"/>
        <sz val="10.0"/>
      </rPr>
      <t xml:space="preserve">
Dirección: Circular 4 # 70-93 Oficina 302, Medellin, Antioquia
Tel:01-8000-42-3525</t>
    </r>
  </si>
  <si>
    <t>Servicio de Hosting Basico H1</t>
  </si>
  <si>
    <t>El plan H1 es un servicio de hosting básico que permite alojar un sitio web con 10 GB de almacenamiento, 500 GB de transferencia mensual y recursos suficientes para proyectos pequeños, incluyendo correo corporativo y bases de datos.</t>
  </si>
  <si>
    <t>N/A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</si>
  <si>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</si>
  <si>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</si>
  <si>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</si>
  <si>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</si>
  <si>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</si>
  <si>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</si>
  <si>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</si>
  <si>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</si>
  <si>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</si>
  <si>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</si>
  <si>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Alkosto</t>
  </si>
  <si>
    <r>
      <rPr>
        <rFont val="Arial"/>
        <color rgb="FF0000FF"/>
        <sz val="10.0"/>
        <u/>
      </rPr>
      <t xml:space="preserve">Url:
</t>
    </r>
    <r>
      <rPr>
        <rFont val="Arial"/>
        <color rgb="FF1155CC"/>
        <sz val="10.0"/>
        <u/>
      </rPr>
      <t>https://acortar.link/L5wjGg</t>
    </r>
  </si>
  <si>
    <t>Combo mouse y teclado</t>
  </si>
  <si>
    <t>Logitech</t>
  </si>
  <si>
    <t>Url:
https://acortar.link/CadcWj</t>
  </si>
  <si>
    <t>Mercado Libre</t>
  </si>
  <si>
    <t>Url:
https://acortar.link/FnkIgc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</si>
  <si>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</si>
  <si>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</si>
  <si>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</si>
  <si>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</si>
  <si>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</si>
  <si>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</si>
  <si>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</si>
  <si>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</si>
  <si>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</si>
  <si>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</si>
  <si>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Falabella</t>
  </si>
  <si>
    <t>https://acortar.link/BVkKJw</t>
  </si>
  <si>
    <t>Monitor Curvo LG 24 24U421A-B FHD HDMI USB-C 100Hz</t>
  </si>
  <si>
    <t xml:space="preserve">Monitor Curvo LG 24 24U421A-B FHD HDMI USB-C 100Hz </t>
  </si>
  <si>
    <r>
      <rPr>
        <rFont val="Arial"/>
        <color rgb="FF800080"/>
        <sz val="10.0"/>
      </rPr>
      <t>Url:</t>
    </r>
    <r>
      <rPr>
        <rFont val="Arial"/>
        <color rgb="FF800080"/>
        <sz val="10.0"/>
        <u/>
      </rPr>
      <t xml:space="preserve">
https://www.alkosto.com/monitor-asus-238-pulgadas-va249hg-fhd-plano-negro/p/4711387795170</t>
    </r>
  </si>
  <si>
    <t>Monitor ASUS 23.8" Pulgadas VA249HG FHD Plano Negro</t>
  </si>
  <si>
    <t>LG</t>
  </si>
  <si>
    <t>Url:
https://www.lg.com/co/monitores/gaming/24gs65f-b/</t>
  </si>
  <si>
    <t>Monitor Gamer UltraGear™ 24" FHD -IPS - 180Hz 1ms (GtG) - Pivoteable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</si>
  <si>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</si>
  <si>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</si>
  <si>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</si>
  <si>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</si>
  <si>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</si>
  <si>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</si>
  <si>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</si>
  <si>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</si>
  <si>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</si>
  <si>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</si>
  <si>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Olimpica</t>
  </si>
  <si>
    <t>https://acortar.link/VY7uR9</t>
  </si>
  <si>
    <t xml:space="preserve">
Computador de Escritorio Janus 22 Pulgadas Intel Core I5 512 GB SSD 16 GB RAM
</t>
  </si>
  <si>
    <t>El computador de escritorio JANUS incorpora un procesador Intel Core i5 de 12ª generación, diseñado para ofrecer un alto rendimiento en tareas multitarea, aplicaciones de oficina, navegación web y productividad diaria. Su arquitectura híbrida permite una ejecución fluida de múltiples procesos, brindando velocidad y eficiencia energética en todo momento.</t>
  </si>
  <si>
    <t>Tecnolosys</t>
  </si>
  <si>
    <t>https://acortar.link/KnpJeT</t>
  </si>
  <si>
    <t>Torre Gamer Amd Ryzen 7-5700g +16gb Ram + Ssd Nvme 500gb 16 Gb</t>
  </si>
  <si>
    <t xml:space="preserve">Memoria RAM: 16 GB
Modelo del procesador: 5700G
Línea del procesador: Ryzen 7
Marca del procesador: AMD
Sistema operativo: Windows 11 Pro.
</t>
  </si>
  <si>
    <t>Exito</t>
  </si>
  <si>
    <t>https://www.exito.com/computador-gamer-intel-core-i5-10400t-ssd-512gb-ram-16gb-600w-80-plus-monitor-22-fhd-100hz-104746363-mp/p</t>
  </si>
  <si>
    <t xml:space="preserve">
Computador Gamer Intel Core I5 10400T Ssd 512Gb Ram 16Gb 600W 80 Plus Monitor 22 Fhd 100Hz
</t>
  </si>
  <si>
    <t>Computador Gamer Intel Core I5 10400T Ssd 512Gb Ram 16Gb 600W 80 Plus Monitor 22 Fhd 100Hz</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</si>
  <si>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</si>
  <si>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</si>
  <si>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</si>
  <si>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</si>
  <si>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</si>
  <si>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</si>
  <si>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</si>
  <si>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</si>
  <si>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</si>
  <si>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</si>
  <si>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https://www.olimpica.com/todo-en-uno-hp22-dg0011la-intel-celeron-n100-ram-8g-ssd-256g-1002353415/p</t>
  </si>
  <si>
    <t>Computador All in One Hp 22 Pulgadas Intel Celeron N100 256 GB SSD 8G RAM 22</t>
  </si>
  <si>
    <t>Procesador: Intel Celeron N100 Disco Mecánico: N/A Disco Sólido: 256 GB Memoria RAM: 8 GB DDR4 Tarjeta Gráfica: Intel Graphics Pantalla: 22? FHD (1920 x 1080) Puertos: USB Type-A – HDMI – LAN Sistema Operativo: FreeDos Marca: HP</t>
  </si>
  <si>
    <t>Fallabella</t>
  </si>
  <si>
    <t>https://acortar.link/C3iE7E</t>
  </si>
  <si>
    <t>TORRE GAMER RYZEN7-5700G-32GB RAM-RTX3050 6GB-1TB SSD-BOARD A520-MONITOR 22FHD</t>
  </si>
  <si>
    <t>Procesador: AMD Ryzen 7
Memoria RAM: 32GB
Características de la pantalla: FHD
Núcleos del procesador: Octa core
Capacidad de almacenamiento: 1 TB</t>
  </si>
  <si>
    <t>https://acortar.link/xPuzDh</t>
  </si>
  <si>
    <t>Computador Gamer Ryzen 5 5600Gt / 16Gb Rgb / Ssd 512Gb / Asrock A520m Hdv / Monitor 22 Pulgadas 100Hz</t>
  </si>
  <si>
    <t xml:space="preserve">¡Desata todo tu poder gamer con el computador Janus! Equipado con un procesador Ryzen 5 y una tarjeta gráfica dedicada, este equipo está listo para ofrecerte velocidad, rendimiento y estilo. Ideal para jugadores que buscan fluidez en esports, multitarea y juegos exigentes.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</si>
  <si>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</si>
  <si>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</si>
  <si>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</si>
  <si>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</si>
  <si>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</si>
  <si>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</si>
  <si>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</si>
  <si>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</si>
  <si>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</si>
  <si>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</si>
  <si>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https://acortar.link/lrlTgb</t>
  </si>
  <si>
    <t xml:space="preserve">Dominio </t>
  </si>
  <si>
    <t>El servicio de Hostinger para buscar y registrar nombres de dominio, donde los usuarios pueden ingresar un término para verificar su disponibilidad y obtener opciones de compra con diferentes extensiones, como .com, .xyz.</t>
  </si>
  <si>
    <t>https://clientes.latinoamericahosting.com.co/cart.php?a=add&amp;domain=register</t>
  </si>
  <si>
    <t>Servicio principal ofrecido es la búsqueda y adquisición de nombres de dominio. El usuario busca la disponibilidad de un nombre de dominio específico y destacan de forma prominente las extensiones más populares, como .com y .net, con sus precios anuales</t>
  </si>
  <si>
    <t>Url: https://www.godaddy.com/en-ph/domains
Dirección: Ctra Longitudinal Sur 750
Cuenta con chat
correo: contacto@tulicenciaoriginal.com</t>
  </si>
  <si>
    <t>Adquisición y gestión de nombres de dominio en Internetque permite a los usuarios verificar la 
disponibilidad de un nombre de dominio específico y conocer inmediatamente los precios de registro, 
transferencia y renovación para una amplia variedad de extensiones (.com, .net, .org, .biz, etc.)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</si>
  <si>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</si>
  <si>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</si>
  <si>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Cuadro Comparativo de Cotizaciones</t>
  </si>
  <si>
    <t>Presupuestos (a)</t>
  </si>
  <si>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</si>
  <si>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</si>
  <si>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</si>
  <si>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</si>
  <si>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</si>
  <si>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</si>
  <si>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Forma de Pago 
 (Contado o Cheque)</t>
  </si>
  <si>
    <t>Observaciones 
 (se debe incluir toda aquella característica que no ha sido posible incluir anteriormente)</t>
  </si>
  <si>
    <t>Bodega Digital</t>
  </si>
  <si>
    <t>https://acortar.link/EejJb1</t>
  </si>
  <si>
    <t>Licencia de Microsoft Office 365</t>
  </si>
  <si>
    <t>Office 2024 Professional Plus es una licencia digital original para Windows 10/11 que ofrece la suite más completa de Office con aplicaciones como Word, Excel, PowerPoint, Outlook, Access y OneNote. Incluye clave de producto, enlaces de descarga y guía de instalación, todo enviado por correo electrónico. Es una licencia permanente para un solo PC (no compatible con macOS) y está diseñada para usuarios que buscan rendimiento, estabilidad y herramientas profesionales sin suscripciones.</t>
  </si>
  <si>
    <t>Nº2</t>
  </si>
  <si>
    <t>Licencias Digitales</t>
  </si>
  <si>
    <t>https://acortar.link/FVk55c</t>
  </si>
  <si>
    <t>Microsoft Office 365 Pro Plus ofrece una cuenta nueva y original (se entrega usuario y contraseña) para activar la suite completa de Office en hasta 5 dispositivos Windows o Mac. Incluye aplicaciones como Word, Excel, PowerPoint y Outlook, 100 GB de OneDrive, soporte multilenguaje, guía de instalación y asistencia técnica. La entrega es digital en menos de una hora, con licencias de 1 año o indefinidas, ideal para uso personal o profesional.</t>
  </si>
  <si>
    <t>https://acortar.link/orolmt</t>
  </si>
  <si>
    <t>Microsoft 365 ofrece aplicaciones premium como Word, Excel, PowerPoint, Outlook, OneNote, Teams y OneDrive, además de Access y Publisher en PC. Incluye colaboración por videollamadas, 1 año de almacenamiento seguro en la nube, herramientas inteligentes, contenido creativo, correo avanzado sin anuncios, 60 minutos de Skype y acceso a Copilot en la nube. Es una licencia original válida por 1 año para 1 usuario en hasta 5 dispositivos Windows, macOS, iOS o Android.</t>
  </si>
  <si>
    <t>(a)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t>
  </si>
  <si>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</si>
  <si>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t>Tulicencias</t>
  </si>
  <si>
    <r>
      <rPr>
        <rFont val="Trebuchet MS"/>
        <color rgb="FF000000"/>
        <sz val="10.0"/>
      </rPr>
      <t xml:space="preserve">URL: </t>
    </r>
    <r>
      <rPr>
        <rFont val="Trebuchet MS"/>
        <color rgb="FF1155CC"/>
        <sz val="10.0"/>
        <u/>
      </rPr>
      <t>https://acortar.link/hfBEou</t>
    </r>
  </si>
  <si>
    <t>Licencia de windows 11 pro</t>
  </si>
  <si>
    <t>Incluye activación en línea, una licencia original de por vida para un solo PC, con clave de 25 caracteres vinculada a tu cuenta de Microsoft, lo que permite reinstalarla en el mismo equipo y realizar instalaciones limpias de Windows. También es posible actualizar de Windows Home o Home Single Language a Windows Pro mediante un manual. El envío de la clave es instantáneo por correo electrónico y la licencia está disponible en todos los idiomas.</t>
  </si>
  <si>
    <t>Buho Digital</t>
  </si>
  <si>
    <r>
      <rPr>
        <rFont val="Trebuchet MS"/>
        <color rgb="FF000000"/>
        <sz val="10.0"/>
      </rPr>
      <t xml:space="preserve">URL: </t>
    </r>
    <r>
      <rPr>
        <rFont val="Trebuchet MS"/>
        <color rgb="FF1155CC"/>
        <sz val="10.0"/>
        <u/>
      </rPr>
      <t>https://acortar.link/rlQwlM</t>
    </r>
    <r>
      <rPr>
        <rFont val="Trebuchet MS"/>
        <color rgb="FF000000"/>
        <sz val="10.0"/>
      </rPr>
      <t xml:space="preserve">
 </t>
    </r>
  </si>
  <si>
    <t>contado</t>
  </si>
  <si>
    <t>Esta licencia de Windows 11 Professional es totalmente legítima y permite activar la versión Pro en un único computador; puede reinstalarse después de un formateo siempre que sea el mismo equipo y no haya cambios importantes en su hardware. Es ideal para uso empresarial o en el hogar, válida para auditorías, y se recomienda descargar la versión oficial de Windows 11 Professional desde el sitio del fabricante para luego activarla con el código recibido.</t>
  </si>
  <si>
    <r>
      <rPr>
        <rFont val="Trebuchet MS"/>
        <color rgb="FF000000"/>
        <sz val="10.0"/>
      </rPr>
      <t xml:space="preserve">URL: </t>
    </r>
    <r>
      <rPr>
        <rFont val="Trebuchet MS"/>
        <color rgb="FF1155CC"/>
        <sz val="10.0"/>
        <u/>
      </rPr>
      <t>https://acortar.link/bh8hym</t>
    </r>
  </si>
  <si>
    <t>Windows 11 Professional es un sistema operativo avanzado diseñado para mejorar la productividad y la seguridad, ofreciendo una interfaz renovada y herramientas empresariales como políticas de grupo, BitLocker y gestión remota. Incluye todas las funciones de Windows 11 Home y se integra perfectamente con Microsoft 365 para una colaboración más eficiente.</t>
  </si>
  <si>
    <t>McAfee</t>
  </si>
  <si>
    <t>Url:
 https://acortar.link/IVxUja 
 Direccion:
 6220 America Center Drive, San Jose, CA 95002 USA
 Telefono:
 (866) 622-3911</t>
  </si>
  <si>
    <t>Mcafee total protection</t>
  </si>
  <si>
    <t>Protección todo en uno para tu información personal y privacidad, para que puedas disfrutar de la vida en línea. Incluye antivirus premium, navegación segura, supervisión de identidad y VPN segura.</t>
  </si>
  <si>
    <t>Url: https://www.mercadolibre.com.co/licencia-de-antivirus-mcafee/up/MCOU3181628788#polycard_client=search-nordic&amp;search_layout=stack&amp;position=3&amp;type=product&amp;tracking_id=a4983177-3130-4c37-9d77-0831010e25be&amp;wid=MCO1583630267&amp;sid=search</t>
  </si>
  <si>
    <t>La Licencia de Antivirus McAfee Multi Device Security protege hasta tres dispositivos, computadores, tabletas y celulares durante 15 meses, ofreciendo defensa continua contra virus, malware y amenazas en línea.</t>
  </si>
  <si>
    <t>Ktronix</t>
  </si>
  <si>
    <t>Url:
 https://www.ktronix.com/pin-antivirus-mcafee-total-protection-1-dispositivo-1-ano/p/7700149170123</t>
  </si>
  <si>
    <t>La aplicación móvil de McAfee protege tu privacidad mediante monitoreo de la Dark Web para detectar filtraciones de correos o números telefónicos, muestra tu nivel de seguridad en línea con Protection Score y ofrece una VPN segura que mantiene privadas tus conexiones, datos, contraseñas y actividades al navegar o realizar pagos.</t>
  </si>
  <si>
    <t>Empresa
(Nombre fiscal de la empresa)</t>
  </si>
  <si>
    <r>
      <rPr>
        <rFont val="Trebuchet MS"/>
        <b/>
        <color rgb="FF000000"/>
        <sz val="10.0"/>
      </rPr>
      <t>Nº de CUIT, Dirección, Teléfono</t>
    </r>
    <r>
      <rPr>
        <rFont val="Trebuchet MS"/>
        <b val="0"/>
        <i/>
        <color rgb="FF000000"/>
        <sz val="8.0"/>
      </rPr>
      <t xml:space="preserve">
(Datos de la empresa)</t>
    </r>
  </si>
  <si>
    <r>
      <rPr>
        <rFont val="Trebuchet MS"/>
        <b/>
        <color rgb="FF000000"/>
        <sz val="10.0"/>
      </rPr>
      <t>Descripción del
bien/ servicio (b)</t>
    </r>
    <r>
      <rPr>
        <rFont val="Trebuchet MS"/>
        <b val="0"/>
        <i/>
        <color rgb="FF000000"/>
        <sz val="8.0"/>
      </rPr>
      <t xml:space="preserve">
Características de los bienes/ servicios</t>
    </r>
  </si>
  <si>
    <r>
      <rPr>
        <rFont val="Trebuchet MS"/>
        <b/>
        <color rgb="FF000000"/>
        <sz val="10.0"/>
      </rPr>
      <t>Importe Unitario</t>
    </r>
    <r>
      <rPr>
        <rFont val="Trebuchet MS"/>
        <b val="0"/>
        <i/>
        <color rgb="FF000000"/>
        <sz val="8.0"/>
      </rPr>
      <t xml:space="preserve">
(moneda nacional)</t>
    </r>
  </si>
  <si>
    <r>
      <rPr>
        <rFont val="Trebuchet MS"/>
        <b/>
        <color rgb="FF000000"/>
        <sz val="10.0"/>
        <u/>
      </rPr>
      <t>Importe Total
 IVA incluido</t>
    </r>
    <r>
      <rPr>
        <rFont val="Trebuchet MS"/>
        <b val="0"/>
        <i/>
        <color rgb="FF000000"/>
        <sz val="8.0"/>
        <u/>
      </rPr>
      <t xml:space="preserve">
(moneda nacional)</t>
    </r>
  </si>
  <si>
    <r>
      <rPr>
        <rFont val="Arial"/>
        <b/>
        <color rgb="FF000000"/>
        <sz val="10.0"/>
      </rPr>
      <t>Importe Total</t>
    </r>
    <r>
      <rPr>
        <rFont val="Arial"/>
        <b val="0"/>
        <i/>
        <color rgb="FF000000"/>
        <sz val="8.0"/>
      </rPr>
      <t xml:space="preserve">
(moneda extranjera)</t>
    </r>
  </si>
  <si>
    <r>
      <rPr>
        <rFont val="Trebuchet MS"/>
        <b/>
        <color rgb="FF000000"/>
        <sz val="10.0"/>
      </rPr>
      <t>Forma de Pago</t>
    </r>
    <r>
      <rPr>
        <rFont val="Trebuchet MS"/>
        <b val="0"/>
        <i/>
        <color rgb="FF000000"/>
        <sz val="8.0"/>
      </rPr>
      <t xml:space="preserve">
(Contado o Cheque)</t>
    </r>
  </si>
  <si>
    <r>
      <rPr>
        <rFont val="Trebuchet MS"/>
        <b/>
        <color rgb="FF000000"/>
        <sz val="10.0"/>
      </rPr>
      <t>Observaciones</t>
    </r>
    <r>
      <rPr>
        <rFont val="Trebuchet MS"/>
        <b val="0"/>
        <i/>
        <color rgb="FF000000"/>
        <sz val="8.0"/>
      </rPr>
      <t xml:space="preserve">
(se debe incluir toda aquella característica que no ha sido posible incluir anteriormente)</t>
    </r>
  </si>
  <si>
    <t>4237010.08</t>
  </si>
  <si>
    <t>Microsoft</t>
  </si>
  <si>
    <r>
      <rPr>
        <rFont val="Arial"/>
        <color theme="10"/>
        <sz val="10.0"/>
      </rPr>
      <t>Url:</t>
    </r>
    <r>
      <rPr>
        <rFont val="Arial"/>
        <color theme="10"/>
        <sz val="10.0"/>
        <u/>
      </rPr>
      <t xml:space="preserve">
https://www.microsoft.com/es-co/d/suscripcion-a-visual-studio-professional/dg7gmgf0dst3 </t>
    </r>
  </si>
  <si>
    <t>Licencia de Visual Studio</t>
  </si>
  <si>
    <t>Obtenga acceso a herramientas de desarrollador, Azure, software de desarrollo y pruebas, soporte técnico y aprendizaje. Este completo paquete le permitirá ...</t>
  </si>
  <si>
    <r>
      <rPr>
        <rFont val="Arial"/>
        <color rgb="FF0000FF"/>
        <sz val="10.0"/>
        <u/>
      </rPr>
      <t xml:space="preserve">Url:
</t>
    </r>
    <r>
      <rPr>
        <rFont val="Arial"/>
        <color rgb="FF1155CC"/>
        <sz val="10.0"/>
        <u/>
      </rPr>
      <t>https://bodegadigital.biz/producto/visual-studio-professional-2022/?utm_term=&amp;gadid=717489756940&amp;aelia_cs_currency=COP&amp;bup=Cj0KCQiAxJXJBhD_ARIsAH_JGjjg-3JfVRKRrGUA8vDZ-s8QfQwenN9L9_rz9oNAOnfhHwVQDGAI8KEaApMDEALw_wcB&amp;gad_campaignid=21812087502</t>
    </r>
  </si>
  <si>
    <t>G2A</t>
  </si>
  <si>
    <t>Url:
https://www.g2a.com/es/microsoft-visual-studio-2022-professional-pc-microsoft-key-global-i10000325952002?___language=es&amp;er=0c6b2c25e920ca4f162d76506c43c60423093549b94cba45bee4e56c69f869158175bd296268a1c02c52db6af34422c1&amp;uuid=fe0dbc53-5ef8-4d40-98ff-c256915a7881&amp;adid=GA-CO_PEB_TP_CST_PMAX_FULL&amp;id=47&amp;gad_campaignid=21525321002</t>
  </si>
  <si>
    <r>
      <rPr>
        <rFont val="Arial"/>
        <b/>
        <color rgb="FF000000"/>
        <sz val="10.0"/>
      </rPr>
      <t xml:space="preserve">(a) Se deben presentar tres (3) presupuestos cuando:  
   </t>
    </r>
    <r>
      <rPr>
        <rFont val="Arial"/>
        <b val="0"/>
        <color rgb="FF000000"/>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rgb="FF000000"/>
        <sz val="10.0"/>
      </rPr>
      <t>En caso de no contar con tres (3) presupuestos, o no poder seleccionar al proveedor que ofrece menor precio, presentar este cuadro una nota de justificación siguiendo las pautas del ítem    (XX)</t>
    </r>
  </si>
  <si>
    <r>
      <rPr>
        <rFont val="Arial"/>
        <b/>
        <color rgb="FF000000"/>
        <sz val="10.0"/>
      </rPr>
      <t>(b) Ejemplos:</t>
    </r>
    <r>
      <rPr>
        <rFont val="Arial"/>
        <b val="0"/>
        <color rgb="FF000000"/>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</si>
  <si>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Lasus</t>
  </si>
  <si>
    <t>URL: https://lasus.com.co/es/dell-poweredge-t160-servidor-de-torre-con-intel-xeon-6333p-16gb-ecc-raid-perc-h355</t>
  </si>
  <si>
    <t xml:space="preserve">Windows Server 2022 (50) CAL
</t>
  </si>
  <si>
    <t>El Dell PowerEdge T160 es un servidor de torre diseñado para ofrecer un rendimiento confiable en entornos empresariales. Cuenta con un chasis que soporta hasta 3 discos duros de 3.5\" y 2 discos de 2.5\", permitiendo una amplia capacidad de almacenamiento. Está equipado con un procesador Intel Xeon 6 Performance 6333P a 3.1GHz, con 18M de caché, 6 núcleos y 12 hilos, y tecnología Turbo para mejorar el rendimiento bajo demanda. La memoria UDIMM de 16GB a 5600MT/s ECC garantiza una operación estable y eficiente. La controladora PERC H355 Adapter LPr soporta configuraciones RAID 0, 1, 10, 5 y 50, ofreciendo flexibilidad y seguridad en la gestión de datos. Incluye un disco duro de 2TB SATA a 6Gbps y 7200 RPM para un almacenamiento rápido y fiable. La administración iDRAC9 básica de 16G permite una gestión remota eficiente del servidor. La tarjeta de red integrada Broadcom 5720 con dos puertos de 1Gb facilita la conectividad en red. Viene con una fuente de alimentación cableada de 500W y un cable de alimentación de 3 metros. Garantía limitada de reparación por 39 meses, asegurando la continuidad de sus operaciones empresariales.</t>
  </si>
  <si>
    <t xml:space="preserve">Systore colombia </t>
  </si>
  <si>
    <t xml:space="preserve">URL:https://systorecolombia.com/torre/823-servidor-hp-ml30-g11-e2414-16gb-1tb-p65094-001.html
 </t>
  </si>
  <si>
    <t>Windows Server 2022 (50) CAL</t>
  </si>
  <si>
    <t>El servidor HPE ProLiant ML30 Gen11 cuenta con hasta 8 núcleos en el procesador Intel Xeon E y hasta 128 GB 5600 MT/s DDR5 ECC UDIMM, lo que proporciona un rendimiento abundante en aplicaciones de pequeñas y medianas empresas.
Con hasta 80 TB de almacenamiento, el HPE ProLiant ML30 Gen11 es una plataforma de almacenamiento ideal que permite a tu negocio dar cabida a una gran cantidad de datos a medida que creces. Una ranura M.2 integrada con compatibilidad SSD NVMe ofrece una velocidad excepcional para el arranque de la unidad.1
Un puerto HPE iLO dedicado opcional permite dedicar más ancho de banda a las funciones de red para lograr mayores velocidades de red.
El software integrado Intel VROC SATA RAID se incluye de serie. Además, los controladores esenciales y de rendimiento HPE Smart Array ofrecen la flexibilidad de elegir el controlador de 12 Gbps que mejor se adapta a tu entorno.</t>
  </si>
  <si>
    <t>compulago</t>
  </si>
  <si>
    <t>URL: https://compulago.com/producto/hpe-proliant-ml30-gen10-plus-server-p44719-001-2323-03350081/</t>
  </si>
  <si>
    <t>HPE PROLIANT ML30 GEN10 PLUS SERVER P44719 001</t>
  </si>
  <si>
    <t>El servidor HPE ProLiant ML30 Gen10 Plus es un servidor de torre asequible pero potente que ha sido diseñado para ejecutar soluciones de nube híbrida y locales en oficinas pequeñas, oficinas remotas y sucursales, proporcionando un rendimiento de clase empresarial, seguridad, fiabilidad y capacidad de expansión a bajo coste.</t>
  </si>
  <si>
    <t>Rocky Linux</t>
  </si>
  <si>
    <t>URL: https://rockylinux.org/es-ES
 correo: contacto@tulicencias.com</t>
  </si>
  <si>
    <t>licencia de software de 3 cláusulas BSD, lo que permite su uso, modificación y redistribución gratuita con pocas restricciones, incluyendo el uso comercial.</t>
  </si>
  <si>
    <t>Rocky Linux es un sistema operativo de código abierto diseñado como una alternativa comunitaria y gratuita a Red Hat Enterprise Linux (RHEL), con el objetivo de ser un entorno de producción estable y seguro para empresas. Es completamente compatible con RHEL, lo que significa que se puede reconstruir directamente desde el código fuente de RHEL, manteniendo la compatibilidad binaria y el soporte a largo plazo para cargas de trabajo empresariales.</t>
  </si>
  <si>
    <t xml:space="preserve">URL: https://buhodigitalcol.com/windows-server-2022-50-cal/?gad_source=1&amp;gad_campaignid=20815338419&amp;gbraid=0AAAAAqHi9t8B1-bVEfRdAFLsM6wcXfgCO&amp;gclid=CjwKCAiAraXJBhBJEiwAjz7MZTjhvRX5shr5gXAGLS_AIbE8SMkvA-IoUo5zBpbzZncKVYVEEuDhdxoCCf0QAvD_BwE
 </t>
  </si>
  <si>
    <t xml:space="preserve"> Licencia Windows Server 2022 Remote Desktop Services</t>
  </si>
  <si>
    <t>Las Licencias de Acceso de Cliente (CAL) de Licencia Windows Server 2022 Remote Desktop Services son esenciales para las organizaciones que utilizan Windows Server 2022 y necesitan habilitar el acceso remoto para hasta 50 usuarios. Esto garantiza que tu empresa pueda mantener la productividad y la conectividad sin importar la ubicación física de los empleados.</t>
  </si>
  <si>
    <t>Microsoft Windows Server 2025 Standard 16 Core - OEM</t>
  </si>
  <si>
    <t>URL: www.amazon.com/-/es/Microsoft-Windows-Server-2025-Standard/dp/B0DP7LYCYG/ref=sr_1_3?adgrpid=174316416953&amp;dib=eyJ2IjoiMSJ9.8cYdX6rLLm1kx3c7nzxdgUAlsNIZKBka6w8X_Aa2uG46IfDzRb2mvmXaznCDh77nQTD8nof3d6JU8SGUxCREt3cUtH0R7N_rsczD_nZA7f4DdUKRjIkAX2ynbpRuv3YHl9Debyv3BvgVi5cxCXdag6ZupwwtndXtQLG9h7ZSdG7NNLQtjjtlt_Lb9DADBjI-LP1_pZbIsiNczCd_T0AgHyDHGtbmrEEAVO_IBcdpHMI.ZNStW9uRlqpuY4mRFkNZhAM1JyTCCmEGmSByDPmd7Dg&amp;dib_tag=se&amp;hvadid=727567175474&amp;hvdev=c&amp;hvlocphy=1003659&amp;hvnetw=g&amp;hvqmt=b&amp;hvrand=10846150719734644830&amp;hvtargid=kwd-1930803808937&amp;hydadcr=27373_14811170&amp;keywords=windows%2Bserver%2B2025&amp;mcid=547faf7249bd3c0d8aaab568bf642df1&amp;qid=1764362007&amp;sr=8-3&amp;th=1</t>
  </si>
  <si>
    <t>(CAL) de Windows Server 2025</t>
  </si>
  <si>
    <t>es una licencia del sistema operativo para pequeñas y medianas empresas con entornos de servidor físicos o mínimamente virtualizados. Este producto, con licencia por núcleo, incluye un servidor de 16 núcleos y permite hasta dos máquinas virtuales (VMs), siempre que todos los núcleos estén licenciados.</t>
  </si>
  <si>
    <t>1. Costos de Recursos Humanos General (por día)</t>
  </si>
  <si>
    <t>Recurso</t>
  </si>
  <si>
    <t>Salario mensual estimado (COP)</t>
  </si>
  <si>
    <t>Salario diario aprox. (COP)</t>
  </si>
  <si>
    <t>Salario por hora</t>
  </si>
  <si>
    <t>Programador Front-End</t>
  </si>
  <si>
    <t>Programador Back-End</t>
  </si>
  <si>
    <t>Técnico de soporte TI</t>
  </si>
  <si>
    <t>UX/UI Designer</t>
  </si>
  <si>
    <t>Pago total =</t>
  </si>
  <si>
    <t>1. Costos de Recursos Humanos (por día)</t>
  </si>
  <si>
    <t>3. Costos de Desarrollo</t>
  </si>
  <si>
    <t>Actividad</t>
  </si>
  <si>
    <t>Estimación en días</t>
  </si>
  <si>
    <t>Costo estimado</t>
  </si>
  <si>
    <t>costo por dia</t>
  </si>
  <si>
    <t>costo por hora</t>
  </si>
  <si>
    <t>Diseño y mockups (UX/UI)</t>
  </si>
  <si>
    <t>7 dias</t>
  </si>
  <si>
    <t>Desarrollo Backend</t>
  </si>
  <si>
    <t>182 dias</t>
  </si>
  <si>
    <t>Base de datos</t>
  </si>
  <si>
    <t>Seguridad y autenticación</t>
  </si>
  <si>
    <t>2 dias</t>
  </si>
  <si>
    <t>Investigacion</t>
  </si>
  <si>
    <t>60 días</t>
  </si>
  <si>
    <t>Suma Total</t>
  </si>
  <si>
    <t>4. Costos de Soporte y Mantenimiento (6 meses)</t>
  </si>
  <si>
    <t>Costo mensual estimado</t>
  </si>
  <si>
    <t>Total 6 meses</t>
  </si>
  <si>
    <t>Soporte técnico</t>
  </si>
  <si>
    <t>Actualizaciones</t>
  </si>
  <si>
    <t>Monitoreo del sistema</t>
  </si>
  <si>
    <t>suma total</t>
  </si>
  <si>
    <t>5. Costos Administrativos y de Documentación</t>
  </si>
  <si>
    <t>este analisis se basa en que el promedio de estas tareas toma 136 horas hacerlo</t>
  </si>
  <si>
    <t>Documentación del sistema</t>
  </si>
  <si>
    <t>por ende esto implicaria 17 dias de trabajo que suman en total 806500</t>
  </si>
  <si>
    <t>Manual de usuario</t>
  </si>
  <si>
    <t>Impresiones y presentaciones</t>
  </si>
  <si>
    <t>total</t>
  </si>
  <si>
    <t>fuente para justificar salario</t>
  </si>
  <si>
    <t>https://talently.tech/herramientas/colombia/salario/developer/front-end-developer</t>
  </si>
  <si>
    <t>https://talently.tech/herramientas/colombia/salario/developer/back-end-developer</t>
  </si>
  <si>
    <t>https://co.indeed.com/career/t%C3%A9cnico-soporte-ti/salaries</t>
  </si>
  <si>
    <t>https://www.coderhouse.com/co/sueldos/sueldo-disenador-ux-ui-colombia-2025</t>
  </si>
  <si>
    <t>RECOMENDACION</t>
  </si>
  <si>
    <t>ESTIMADO CON SERVER LOCAL</t>
  </si>
  <si>
    <t>CANTIDAD</t>
  </si>
  <si>
    <t>PRODUCTO</t>
  </si>
  <si>
    <t>INFORMACION DEL PRODUCTO</t>
  </si>
  <si>
    <t>VALOR UNITARIO</t>
  </si>
  <si>
    <t>VALOR TOTAL</t>
  </si>
  <si>
    <t>Categoría</t>
  </si>
  <si>
    <t>Producto / Servicio</t>
  </si>
  <si>
    <t>Descripción Técnica</t>
  </si>
  <si>
    <t>Cant.</t>
  </si>
  <si>
    <t>Valor Unitario (COP)</t>
  </si>
  <si>
    <t>Valor Total (COP)</t>
  </si>
  <si>
    <t>https://acortar.link/KBLnsG</t>
  </si>
  <si>
    <t>Hardware</t>
  </si>
  <si>
    <t>Computador Escritorio Janus 22"</t>
  </si>
  <si>
    <t>Intel Core i5, 16GB RAM, SSD 512GB</t>
  </si>
  <si>
    <t>Computador Gamer Ryzen 5 8500G</t>
  </si>
  <si>
    <t>16GB RAM, Radeon, SSD 512GB, LED 22"</t>
  </si>
  <si>
    <t>Computador Gamer Ryzen 5 8500g Radeon 512gb 16gb Led 22 Pc</t>
  </si>
  <si>
    <t>Servidor Local</t>
  </si>
  <si>
    <t>Servidor físico para procesamiento y almacenamiento</t>
  </si>
  <si>
    <t>Software</t>
  </si>
  <si>
    <t>Microsoft Office 365</t>
  </si>
  <si>
    <t>Licencia anual</t>
  </si>
  <si>
    <t>https://acortar.link/hfBEou</t>
  </si>
  <si>
    <t>Windows 11 Pro</t>
  </si>
  <si>
    <t>Licencia profesional</t>
  </si>
  <si>
    <t>https://acortar.link/Z7pXYW</t>
  </si>
  <si>
    <t>McAfee Total Protection</t>
  </si>
  <si>
    <t>Seguridad Endpoint</t>
  </si>
  <si>
    <t>Recursos Humanos</t>
  </si>
  <si>
    <t>Visual Studio</t>
  </si>
  <si>
    <t>Licencia de desarrollo</t>
  </si>
  <si>
    <t>https://acortar.link/F5pyh1</t>
  </si>
  <si>
    <t>Servicios</t>
  </si>
  <si>
    <t>Eliminado por implementación de servidor local</t>
  </si>
  <si>
    <t>—</t>
  </si>
  <si>
    <t>Costos de Desarrollo</t>
  </si>
  <si>
    <t>Costos Totales del Desarrollo</t>
  </si>
  <si>
    <t>Operativo</t>
  </si>
  <si>
    <t>4 personas – salario mensual estimado</t>
  </si>
  <si>
    <t>Costos de Soporte(mensual)</t>
  </si>
  <si>
    <t>Costos de Soporte y Mantenimiento</t>
  </si>
  <si>
    <t>Desarrollo de software</t>
  </si>
  <si>
    <t>Costos Admin</t>
  </si>
  <si>
    <t>Costos Administrativos y de Documentación</t>
  </si>
  <si>
    <t>Soporte y Mantenimiento</t>
  </si>
  <si>
    <t>Servicio mensual</t>
  </si>
  <si>
    <t>Costos Administrativos</t>
  </si>
  <si>
    <t>Documentación y trámites</t>
  </si>
  <si>
    <t>COSTO PROYECTO</t>
  </si>
  <si>
    <t>Concepto</t>
  </si>
  <si>
    <t>Valor (COP)</t>
  </si>
  <si>
    <t>Total original del proyecto</t>
  </si>
  <si>
    <t>(-) Eliminación Hosting Single</t>
  </si>
  <si>
    <t>– $310,000</t>
  </si>
  <si>
    <t>(+) Agregado Servidor Local</t>
  </si>
  <si>
    <t>Total Final del Proyecto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</si>
</sst>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 $]#,##0"/>
    <numFmt numFmtId="165" formatCode="[$$-240A]\ #,##0"/>
    <numFmt numFmtId="166" formatCode="[$$-240A]\ #,##0.00"/>
    <numFmt numFmtId="167" formatCode="&quot;$&quot;#,##0"/>
    <numFmt numFmtId="168" formatCode="&quot;$&quot;#,##0.00"/>
  </numFmts>
  <fonts count="56">
    <font>
      <sz val="10.0"/>
      <color rgb="FF000000"/>
      <name val="Arial"/>
      <scheme val="minor"/>
    </font>
    <font>
      <sz val="13.0"/>
      <color theme="1"/>
      <name val="Arial"/>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theme="1"/>
      <name val="Trebuchet MS"/>
    </font>
    <font>
      <u/>
      <sz val="10.0"/>
      <color rgb="FF000000"/>
      <name val="Arial"/>
    </font>
    <font>
      <sz val="10.0"/>
      <color rgb="FF000000"/>
      <name val="Roboto"/>
    </font>
    <font>
      <u/>
      <sz val="10.0"/>
      <color rgb="FF000000"/>
      <name val="Arial"/>
    </font>
    <font>
      <sz val="13.0"/>
      <color rgb="FF000000"/>
      <name val="Roboto"/>
    </font>
    <font>
      <sz val="10.0"/>
      <color theme="1"/>
      <name val="Arial Narrow"/>
    </font>
    <font>
      <u/>
      <sz val="10.0"/>
      <color theme="10"/>
      <name val="Arial"/>
    </font>
    <font>
      <u/>
      <sz val="10.0"/>
      <color rgb="FF800080"/>
      <name val="Trebuchet MS"/>
    </font>
    <font>
      <u/>
      <sz val="10.0"/>
      <color rgb="FF800080"/>
      <name val="Arial"/>
    </font>
    <font>
      <u/>
      <sz val="10.0"/>
      <color rgb="FF0000FF"/>
      <name val="Trebuchet MS"/>
    </font>
    <font>
      <u/>
      <sz val="10.0"/>
      <color rgb="FF800080"/>
      <name val="Trebuchet MS"/>
    </font>
    <font>
      <u/>
      <sz val="10.0"/>
      <color rgb="FF800080"/>
      <name val="Trebuchet MS"/>
    </font>
    <font>
      <u/>
      <sz val="11.0"/>
      <color theme="1"/>
      <name val="Arial"/>
    </font>
    <font>
      <u/>
      <sz val="10.0"/>
      <color rgb="FF800080"/>
      <name val="Arial"/>
    </font>
    <font>
      <u/>
      <sz val="10.0"/>
      <color rgb="FF0000FF"/>
      <name val="Arial"/>
    </font>
    <font>
      <u/>
      <sz val="10.0"/>
      <color rgb="FF0000FF"/>
      <name val="Trebuchet MS"/>
    </font>
    <font>
      <u/>
      <sz val="10.0"/>
      <color rgb="FF0000FF"/>
      <name val="Trebuchet MS"/>
    </font>
    <font>
      <sz val="10.0"/>
      <color rgb="FF000000"/>
      <name val="Arial"/>
    </font>
    <font>
      <b/>
      <sz val="12.0"/>
      <color rgb="FF000000"/>
      <name val="Arial"/>
    </font>
    <font>
      <b/>
      <sz val="10.0"/>
      <color rgb="FF000000"/>
      <name val="Arial"/>
    </font>
    <font>
      <b/>
      <sz val="10.0"/>
      <color rgb="FF000000"/>
      <name val="Trebuchet MS"/>
    </font>
    <font>
      <b/>
      <u/>
      <sz val="10.0"/>
      <color rgb="FF000000"/>
      <name val="Trebuchet MS"/>
    </font>
    <font>
      <sz val="10.0"/>
      <color rgb="FF000000"/>
      <name val="Trebuchet MS"/>
    </font>
    <font>
      <u/>
      <sz val="11.0"/>
      <color rgb="FF0000FF"/>
      <name val="Arial"/>
    </font>
    <font>
      <u/>
      <sz val="11.0"/>
      <color rgb="FF0000FF"/>
      <name val="Arial"/>
    </font>
    <font>
      <u/>
      <sz val="11.0"/>
      <color rgb="FF0000FF"/>
      <name val="Arial"/>
    </font>
    <font>
      <u/>
      <sz val="10.0"/>
      <color rgb="FF000000"/>
      <name val="Trebuchet MS"/>
    </font>
    <font>
      <u/>
      <sz val="10.0"/>
      <color rgb="FF000000"/>
      <name val="Trebuchet MS"/>
    </font>
    <font>
      <b/>
      <u/>
      <sz val="10.0"/>
      <color rgb="FF000000"/>
      <name val="Trebuchet MS"/>
    </font>
    <font>
      <u/>
      <sz val="11.0"/>
      <color rgb="FF0000FF"/>
      <name val="Arial"/>
    </font>
    <font>
      <sz val="11.0"/>
      <color rgb="FF000000"/>
      <name val="Aptos Narrow"/>
    </font>
    <font>
      <sz val="10.0"/>
      <color rgb="FF000000"/>
      <name val="Quattrocento Sans"/>
    </font>
    <font>
      <u/>
      <sz val="10.0"/>
      <color rgb="FF0000FF"/>
      <name val="Arial"/>
    </font>
    <font>
      <u/>
      <sz val="11.0"/>
      <color rgb="FF0000FF"/>
      <name val="Arial"/>
    </font>
    <font>
      <sz val="11.0"/>
      <color rgb="FF000000"/>
      <name val="Calibri"/>
    </font>
    <font>
      <b/>
      <sz val="11.0"/>
      <color rgb="FF000000"/>
      <name val="Calibri"/>
    </font>
    <font>
      <color theme="1"/>
      <name val="Arial"/>
      <scheme val="minor"/>
    </font>
    <font>
      <u/>
      <sz val="11.0"/>
      <color rgb="FF0000FF"/>
      <name val="Calibri"/>
    </font>
    <font>
      <u/>
      <sz val="11.0"/>
      <color rgb="FF0000FF"/>
      <name val="Calibri"/>
    </font>
    <font>
      <b/>
      <color theme="1"/>
      <name val="Arial"/>
      <scheme val="minor"/>
    </font>
    <font>
      <color theme="1"/>
      <name val="Trebuchet MS"/>
    </font>
    <font>
      <u/>
      <sz val="10.0"/>
      <color rgb="FF000000"/>
      <name val="Trebuchet MS"/>
    </font>
    <font>
      <u/>
      <color rgb="FF0000FF"/>
      <name val="Trebuchet MS"/>
    </font>
    <font>
      <sz val="11.0"/>
      <color theme="1"/>
      <name val="Trebuchet MS"/>
    </font>
    <font>
      <u/>
      <color rgb="FF0000FF"/>
      <name val="Trebuchet MS"/>
    </font>
    <font>
      <u/>
      <sz val="11.0"/>
      <color rgb="FF0000FF"/>
      <name val="Trebuchet MS"/>
    </font>
    <font>
      <u/>
      <color rgb="FF0000FF"/>
    </font>
  </fonts>
  <fills count="9">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theme="0"/>
        <bgColor theme="0"/>
      </patternFill>
    </fill>
    <fill>
      <patternFill patternType="solid">
        <fgColor rgb="FFB7B7B7"/>
        <bgColor rgb="FFB7B7B7"/>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right style="thin">
        <color rgb="FF000000"/>
      </right>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3" numFmtId="0" xfId="0" applyAlignment="1" applyFont="1">
      <alignment horizontal="center" vertical="center"/>
    </xf>
    <xf borderId="1" fillId="2"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3" fontId="5"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5" fillId="0" fontId="6" numFmtId="0" xfId="0" applyAlignment="1" applyBorder="1" applyFont="1">
      <alignment horizontal="center" shrinkToFit="0" vertical="center" wrapText="1"/>
    </xf>
    <xf borderId="4" fillId="0" fontId="6" numFmtId="164" xfId="0" applyAlignment="1" applyBorder="1" applyFont="1" applyNumberFormat="1">
      <alignment horizontal="center" shrinkToFit="0" vertical="center" wrapText="1"/>
    </xf>
    <xf borderId="4" fillId="4" fontId="7" numFmtId="0" xfId="0" applyAlignment="1" applyBorder="1" applyFill="1" applyFont="1">
      <alignment horizontal="center" shrinkToFit="0" vertical="center" wrapText="1"/>
    </xf>
    <xf borderId="6" fillId="5" fontId="5" numFmtId="0" xfId="0" applyAlignment="1" applyBorder="1" applyFill="1" applyFont="1">
      <alignment horizontal="center" shrinkToFit="0" vertical="center" wrapText="1"/>
    </xf>
    <xf borderId="4" fillId="2" fontId="6" numFmtId="0" xfId="0" applyAlignment="1" applyBorder="1" applyFont="1">
      <alignment horizontal="center" shrinkToFit="0" vertical="center" wrapText="1"/>
    </xf>
    <xf borderId="0" fillId="0" fontId="8" numFmtId="0" xfId="0" applyAlignment="1" applyFont="1">
      <alignment horizontal="center" vertical="center"/>
    </xf>
    <xf borderId="4" fillId="3" fontId="5" numFmtId="0" xfId="0" applyAlignment="1" applyBorder="1" applyFont="1">
      <alignment horizontal="center" vertical="center"/>
    </xf>
    <xf borderId="1" fillId="0" fontId="9"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7" fillId="6" fontId="11" numFmtId="3" xfId="0" applyAlignment="1" applyBorder="1" applyFill="1" applyFont="1" applyNumberFormat="1">
      <alignment horizontal="center" vertical="center"/>
    </xf>
    <xf borderId="4" fillId="6" fontId="9" numFmtId="165" xfId="0" applyAlignment="1" applyBorder="1" applyFont="1" applyNumberFormat="1">
      <alignment horizontal="center" shrinkToFit="0" vertical="center" wrapText="1"/>
    </xf>
    <xf borderId="4" fillId="0" fontId="9" numFmtId="165" xfId="0" applyAlignment="1" applyBorder="1" applyFont="1" applyNumberFormat="1">
      <alignment horizontal="center" shrinkToFit="0" vertical="center" wrapText="1"/>
    </xf>
    <xf borderId="4" fillId="7" fontId="9" numFmtId="165" xfId="0" applyAlignment="1" applyBorder="1" applyFill="1" applyFont="1" applyNumberFormat="1">
      <alignment horizontal="center" shrinkToFit="0" vertical="center" wrapText="1"/>
    </xf>
    <xf borderId="4" fillId="0" fontId="9" numFmtId="0" xfId="0" applyAlignment="1" applyBorder="1" applyFont="1">
      <alignment horizontal="center" shrinkToFit="0" vertical="center" wrapText="1"/>
    </xf>
    <xf borderId="4" fillId="0" fontId="9" numFmtId="0" xfId="0" applyAlignment="1" applyBorder="1" applyFont="1">
      <alignment horizontal="center" shrinkToFit="0" vertical="top" wrapText="1"/>
    </xf>
    <xf borderId="0" fillId="0" fontId="12" numFmtId="0" xfId="0" applyAlignment="1" applyFont="1">
      <alignment horizontal="center" shrinkToFit="0" vertical="center" wrapText="1"/>
    </xf>
    <xf borderId="3" fillId="0" fontId="9" numFmtId="0" xfId="0" applyAlignment="1" applyBorder="1" applyFont="1">
      <alignment horizontal="center" shrinkToFit="0" vertical="center" wrapText="1"/>
    </xf>
    <xf borderId="4" fillId="0" fontId="2" numFmtId="0" xfId="0" applyBorder="1" applyFont="1"/>
    <xf borderId="4" fillId="0" fontId="9" numFmtId="0" xfId="0" applyAlignment="1" applyBorder="1" applyFont="1">
      <alignment horizontal="left" shrinkToFit="0" vertical="top" wrapText="1"/>
    </xf>
    <xf borderId="8" fillId="0" fontId="9" numFmtId="0" xfId="0" applyAlignment="1" applyBorder="1" applyFont="1">
      <alignment horizontal="left" shrinkToFit="0" vertical="top" wrapText="1"/>
    </xf>
    <xf borderId="4" fillId="0" fontId="9" numFmtId="164" xfId="0" applyAlignment="1" applyBorder="1" applyFont="1" applyNumberFormat="1">
      <alignment horizontal="left" shrinkToFit="0" vertical="top" wrapText="1"/>
    </xf>
    <xf borderId="4" fillId="6" fontId="13" numFmtId="3" xfId="0" applyAlignment="1" applyBorder="1" applyFont="1" applyNumberFormat="1">
      <alignment horizontal="center" vertical="center"/>
    </xf>
    <xf borderId="1" fillId="0" fontId="5" numFmtId="0" xfId="0" applyAlignment="1" applyBorder="1" applyFont="1">
      <alignment horizontal="left" shrinkToFit="0" vertical="center" wrapText="1"/>
    </xf>
    <xf borderId="0" fillId="0" fontId="14" numFmtId="0" xfId="0" applyAlignment="1" applyFont="1">
      <alignment horizontal="center" shrinkToFit="0" vertical="center" wrapText="1"/>
    </xf>
    <xf borderId="0" fillId="0" fontId="14" numFmtId="164" xfId="0" applyAlignment="1" applyFont="1" applyNumberFormat="1">
      <alignment horizontal="center" shrinkToFit="0" vertical="center" wrapText="1"/>
    </xf>
    <xf borderId="0" fillId="0" fontId="2" numFmtId="0" xfId="0" applyFont="1"/>
    <xf borderId="4" fillId="0" fontId="15" numFmtId="0" xfId="0" applyAlignment="1" applyBorder="1" applyFont="1">
      <alignment horizontal="center" shrinkToFit="0" vertical="center" wrapText="1"/>
    </xf>
    <xf borderId="4" fillId="6" fontId="11" numFmtId="3" xfId="0" applyAlignment="1" applyBorder="1" applyFont="1" applyNumberFormat="1">
      <alignment horizontal="center" shrinkToFit="0" vertical="center" wrapText="1"/>
    </xf>
    <xf borderId="4" fillId="6" fontId="9" numFmtId="166" xfId="0" applyAlignment="1" applyBorder="1" applyFont="1" applyNumberFormat="1">
      <alignment horizontal="center" shrinkToFit="0" vertical="center" wrapText="1"/>
    </xf>
    <xf borderId="4" fillId="0" fontId="9" numFmtId="166" xfId="0" applyAlignment="1" applyBorder="1" applyFont="1" applyNumberFormat="1">
      <alignment horizontal="center" shrinkToFit="0" vertical="center" wrapText="1"/>
    </xf>
    <xf borderId="4" fillId="7" fontId="9" numFmtId="166" xfId="0" applyAlignment="1" applyBorder="1" applyFont="1" applyNumberFormat="1">
      <alignment horizontal="center" shrinkToFit="0" vertical="center" wrapText="1"/>
    </xf>
    <xf borderId="4" fillId="0" fontId="16" numFmtId="0" xfId="0" applyAlignment="1" applyBorder="1" applyFont="1">
      <alignment horizontal="center" shrinkToFit="0" vertical="top" wrapText="1"/>
    </xf>
    <xf borderId="4" fillId="0" fontId="17" numFmtId="0" xfId="0" applyAlignment="1" applyBorder="1" applyFont="1">
      <alignment horizontal="center" shrinkToFit="0" vertical="center" wrapText="1"/>
    </xf>
    <xf borderId="4" fillId="6" fontId="9" numFmtId="164" xfId="0" applyAlignment="1" applyBorder="1" applyFont="1" applyNumberFormat="1">
      <alignment horizontal="center" shrinkToFit="0" vertical="center" wrapText="1"/>
    </xf>
    <xf borderId="4" fillId="0" fontId="9" numFmtId="164" xfId="0" applyAlignment="1" applyBorder="1" applyFont="1" applyNumberFormat="1">
      <alignment horizontal="center" shrinkToFit="0" vertical="center" wrapText="1"/>
    </xf>
    <xf borderId="4" fillId="7" fontId="9" numFmtId="164" xfId="0" applyAlignment="1" applyBorder="1" applyFont="1" applyNumberFormat="1">
      <alignment horizontal="center" shrinkToFit="0" vertical="center" wrapText="1"/>
    </xf>
    <xf borderId="4" fillId="0" fontId="18" numFmtId="0" xfId="0" applyAlignment="1" applyBorder="1" applyFont="1">
      <alignment horizontal="center" shrinkToFit="0" vertical="center" wrapText="1"/>
    </xf>
    <xf borderId="4" fillId="0" fontId="19" numFmtId="0" xfId="0" applyAlignment="1" applyBorder="1" applyFont="1">
      <alignment horizontal="center" readingOrder="0" shrinkToFit="0" vertical="center" wrapText="1"/>
    </xf>
    <xf borderId="4" fillId="0" fontId="20" numFmtId="0" xfId="0" applyAlignment="1" applyBorder="1" applyFont="1">
      <alignment horizontal="center" shrinkToFit="0" vertical="center" wrapText="1"/>
    </xf>
    <xf borderId="4" fillId="0" fontId="6" numFmtId="0" xfId="0" applyAlignment="1" applyBorder="1" applyFont="1">
      <alignment horizontal="left" shrinkToFit="0" vertical="top" wrapText="1"/>
    </xf>
    <xf borderId="4" fillId="0" fontId="21"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4" fillId="0" fontId="22" numFmtId="0" xfId="0" applyAlignment="1" applyBorder="1" applyFont="1">
      <alignment horizontal="center" readingOrder="0" shrinkToFit="0" vertical="center" wrapText="1"/>
    </xf>
    <xf borderId="4" fillId="0" fontId="9" numFmtId="164" xfId="0" applyAlignment="1" applyBorder="1" applyFont="1" applyNumberFormat="1">
      <alignment horizontal="center" readingOrder="0" shrinkToFit="0" vertical="center" wrapText="1"/>
    </xf>
    <xf borderId="4" fillId="0" fontId="9" numFmtId="164" xfId="0" applyAlignment="1" applyBorder="1" applyFont="1" applyNumberFormat="1">
      <alignment horizontal="center" vertical="center"/>
    </xf>
    <xf borderId="4" fillId="0" fontId="23" numFmtId="0" xfId="0" applyAlignment="1" applyBorder="1" applyFont="1">
      <alignment horizontal="center" readingOrder="0" shrinkToFit="0" vertical="center" wrapText="1"/>
    </xf>
    <xf borderId="4" fillId="0" fontId="24" numFmtId="0" xfId="0" applyAlignment="1" applyBorder="1" applyFont="1">
      <alignment horizontal="center" readingOrder="0" shrinkToFit="0" vertical="center" wrapText="1"/>
    </xf>
    <xf borderId="0" fillId="0" fontId="5" numFmtId="0" xfId="0" applyAlignment="1" applyFont="1">
      <alignment horizontal="center" vertical="center"/>
    </xf>
    <xf borderId="0" fillId="0" fontId="9" numFmtId="0" xfId="0" applyAlignment="1" applyFont="1">
      <alignment horizontal="center" shrinkToFit="0" vertical="center" wrapText="1"/>
    </xf>
    <xf borderId="0" fillId="0" fontId="25" numFmtId="0" xfId="0" applyAlignment="1" applyFont="1">
      <alignment horizontal="center" shrinkToFit="0" vertical="center" wrapText="1"/>
    </xf>
    <xf borderId="0" fillId="0" fontId="9" numFmtId="164" xfId="0" applyAlignment="1" applyFont="1" applyNumberFormat="1">
      <alignment horizontal="center" shrinkToFit="0" vertical="center" wrapText="1"/>
    </xf>
    <xf borderId="0" fillId="0" fontId="9" numFmtId="164" xfId="0" applyAlignment="1" applyFont="1" applyNumberFormat="1">
      <alignment horizontal="center" vertical="center"/>
    </xf>
    <xf borderId="8" fillId="0" fontId="2" numFmtId="0" xfId="0" applyBorder="1" applyFont="1"/>
    <xf borderId="0" fillId="0" fontId="26" numFmtId="0" xfId="0" applyFont="1"/>
    <xf borderId="0" fillId="0" fontId="27" numFmtId="0" xfId="0" applyAlignment="1" applyFont="1">
      <alignment horizontal="center"/>
    </xf>
    <xf borderId="1" fillId="2" fontId="27" numFmtId="0" xfId="0" applyAlignment="1" applyBorder="1" applyFont="1">
      <alignment horizontal="center"/>
    </xf>
    <xf borderId="9" fillId="0" fontId="4" numFmtId="0" xfId="0" applyBorder="1" applyFont="1"/>
    <xf borderId="4" fillId="3" fontId="28" numFmtId="0" xfId="0" applyAlignment="1" applyBorder="1" applyFont="1">
      <alignment horizontal="center" shrinkToFit="0" vertical="center" wrapText="1"/>
    </xf>
    <xf borderId="4" fillId="0" fontId="29" numFmtId="0" xfId="0" applyAlignment="1" applyBorder="1" applyFont="1">
      <alignment horizontal="center" shrinkToFit="0" vertical="center" wrapText="1"/>
    </xf>
    <xf borderId="4" fillId="4" fontId="30" numFmtId="0" xfId="0" applyAlignment="1" applyBorder="1" applyFont="1">
      <alignment horizontal="center" shrinkToFit="0" vertical="center" wrapText="1"/>
    </xf>
    <xf borderId="6" fillId="5" fontId="28" numFmtId="0" xfId="0" applyAlignment="1" applyBorder="1" applyFont="1">
      <alignment horizontal="center" shrinkToFit="0" vertical="center" wrapText="1"/>
    </xf>
    <xf borderId="4" fillId="2" fontId="29" numFmtId="0" xfId="0" applyAlignment="1" applyBorder="1" applyFont="1">
      <alignment shrinkToFit="0" vertical="center" wrapText="1"/>
    </xf>
    <xf borderId="4" fillId="3" fontId="28" numFmtId="0" xfId="0" applyAlignment="1" applyBorder="1" applyFont="1">
      <alignment horizontal="center"/>
    </xf>
    <xf borderId="4" fillId="0" fontId="31" numFmtId="0" xfId="0" applyAlignment="1" applyBorder="1" applyFont="1">
      <alignment horizontal="center" shrinkToFit="0" vertical="center" wrapText="1"/>
    </xf>
    <xf borderId="0" fillId="0" fontId="32" numFmtId="0" xfId="0" applyAlignment="1" applyFont="1">
      <alignment horizontal="center" readingOrder="0" shrinkToFit="0" vertical="center" wrapText="1"/>
    </xf>
    <xf borderId="3" fillId="0" fontId="31" numFmtId="166" xfId="0" applyAlignment="1" applyBorder="1" applyFont="1" applyNumberFormat="1">
      <alignment horizontal="center" shrinkToFit="0" vertical="center" wrapText="1"/>
    </xf>
    <xf borderId="3" fillId="0" fontId="31" numFmtId="0" xfId="0" applyAlignment="1" applyBorder="1" applyFont="1">
      <alignment horizontal="center" shrinkToFit="0" vertical="center" wrapText="1"/>
    </xf>
    <xf borderId="0" fillId="0" fontId="26" numFmtId="0" xfId="0" applyAlignment="1" applyFont="1">
      <alignment horizontal="center" vertical="center"/>
    </xf>
    <xf borderId="4" fillId="0" fontId="33" numFmtId="0" xfId="0" applyAlignment="1" applyBorder="1" applyFont="1">
      <alignment horizontal="center" readingOrder="0" shrinkToFit="0" vertical="center" wrapText="1"/>
    </xf>
    <xf borderId="0" fillId="0" fontId="34" numFmtId="0" xfId="0" applyAlignment="1" applyFont="1">
      <alignment horizontal="center" readingOrder="0" shrinkToFit="0" vertical="center" wrapText="1"/>
    </xf>
    <xf borderId="4" fillId="0" fontId="26" numFmtId="0" xfId="0" applyBorder="1" applyFont="1"/>
    <xf borderId="4" fillId="0" fontId="31" numFmtId="0" xfId="0" applyAlignment="1" applyBorder="1" applyFont="1">
      <alignment horizontal="left" vertical="top"/>
    </xf>
    <xf borderId="1" fillId="0" fontId="28" numFmtId="0" xfId="0" applyAlignment="1" applyBorder="1" applyFont="1">
      <alignment horizontal="left"/>
    </xf>
    <xf borderId="4" fillId="2" fontId="29" numFmtId="0" xfId="0" applyAlignment="1" applyBorder="1" applyFont="1">
      <alignment horizontal="center" shrinkToFit="0" vertical="center" wrapText="1"/>
    </xf>
    <xf borderId="3" fillId="0" fontId="35" numFmtId="0" xfId="0" applyAlignment="1" applyBorder="1" applyFont="1">
      <alignment horizontal="center" readingOrder="0" shrinkToFit="0" vertical="center" wrapText="1"/>
    </xf>
    <xf borderId="4" fillId="0" fontId="31" numFmtId="166" xfId="0" applyAlignment="1" applyBorder="1" applyFont="1" applyNumberFormat="1">
      <alignment horizontal="center" shrinkToFit="0" vertical="center" wrapText="1"/>
    </xf>
    <xf borderId="10" fillId="0" fontId="36" numFmtId="0" xfId="0" applyAlignment="1" applyBorder="1" applyFont="1">
      <alignment horizontal="center" readingOrder="0" shrinkToFit="0" vertical="center" wrapText="1"/>
    </xf>
    <xf borderId="5" fillId="0" fontId="29" numFmtId="0" xfId="0" applyAlignment="1" applyBorder="1" applyFont="1">
      <alignment horizontal="center" shrinkToFit="0" vertical="center" wrapText="1"/>
    </xf>
    <xf borderId="11" fillId="4" fontId="37" numFmtId="0" xfId="0" applyAlignment="1" applyBorder="1" applyFont="1">
      <alignment horizontal="center" shrinkToFit="0" vertical="center" wrapText="1"/>
    </xf>
    <xf borderId="12" fillId="5" fontId="28" numFmtId="0" xfId="0" applyAlignment="1" applyBorder="1" applyFont="1">
      <alignment horizontal="center" shrinkToFit="0" vertical="center" wrapText="1"/>
    </xf>
    <xf borderId="11" fillId="2" fontId="29" numFmtId="0" xfId="0" applyAlignment="1" applyBorder="1" applyFont="1">
      <alignment horizontal="center" shrinkToFit="0" vertical="center" wrapText="1"/>
    </xf>
    <xf borderId="6" fillId="3" fontId="28" numFmtId="0" xfId="0" applyAlignment="1" applyBorder="1" applyFont="1">
      <alignment horizontal="center" shrinkToFit="0" vertical="center" wrapText="1"/>
    </xf>
    <xf borderId="4" fillId="0" fontId="26" numFmtId="0" xfId="0" applyAlignment="1" applyBorder="1" applyFont="1">
      <alignment horizontal="center" shrinkToFit="0" vertical="center" wrapText="1"/>
    </xf>
    <xf borderId="4" fillId="0" fontId="26" numFmtId="166" xfId="0" applyAlignment="1" applyBorder="1" applyFont="1" applyNumberFormat="1">
      <alignment horizontal="center" shrinkToFit="0" vertical="center" wrapText="1"/>
    </xf>
    <xf borderId="4" fillId="0" fontId="38" numFmtId="0" xfId="0" applyAlignment="1" applyBorder="1" applyFont="1">
      <alignment horizontal="center" shrinkToFit="0" vertical="center" wrapText="1"/>
    </xf>
    <xf borderId="8" fillId="0" fontId="31" numFmtId="0" xfId="0" applyAlignment="1" applyBorder="1" applyFont="1">
      <alignment horizontal="center" shrinkToFit="0" vertical="center" wrapText="1"/>
    </xf>
    <xf borderId="8" fillId="0" fontId="31" numFmtId="166" xfId="0" applyAlignment="1" applyBorder="1" applyFont="1" applyNumberFormat="1">
      <alignment horizontal="center" shrinkToFit="0" vertical="center" wrapText="1"/>
    </xf>
    <xf borderId="0" fillId="0" fontId="26" numFmtId="0" xfId="0" applyAlignment="1" applyFont="1">
      <alignment vertical="center"/>
    </xf>
    <xf borderId="0" fillId="0" fontId="27" numFmtId="0" xfId="0" applyFont="1"/>
    <xf borderId="1" fillId="2" fontId="27" numFmtId="0" xfId="0" applyAlignment="1" applyBorder="1" applyFont="1">
      <alignment shrinkToFit="0" wrapText="1"/>
    </xf>
    <xf borderId="0" fillId="0" fontId="39" numFmtId="0" xfId="0" applyFont="1"/>
    <xf borderId="4" fillId="3" fontId="28" numFmtId="0" xfId="0" applyAlignment="1" applyBorder="1" applyFont="1">
      <alignment horizontal="center" vertical="center"/>
    </xf>
    <xf borderId="1" fillId="0" fontId="31" numFmtId="0" xfId="0" applyAlignment="1" applyBorder="1" applyFont="1">
      <alignment horizontal="center" shrinkToFit="0" vertical="center" wrapText="1"/>
    </xf>
    <xf borderId="4" fillId="0" fontId="40" numFmtId="166" xfId="0" applyAlignment="1" applyBorder="1" applyFont="1" applyNumberFormat="1">
      <alignment horizontal="center" vertical="center"/>
    </xf>
    <xf borderId="4" fillId="0" fontId="41" numFmtId="0" xfId="0" applyAlignment="1" applyBorder="1" applyFont="1">
      <alignment horizontal="center" readingOrder="0" shrinkToFit="0" vertical="center" wrapText="1"/>
    </xf>
    <xf borderId="4" fillId="0" fontId="31" numFmtId="0" xfId="0" applyAlignment="1" applyBorder="1" applyFont="1">
      <alignment shrinkToFit="0" wrapText="1"/>
    </xf>
    <xf borderId="4" fillId="0" fontId="31" numFmtId="0" xfId="0" applyAlignment="1" applyBorder="1" applyFont="1">
      <alignment shrinkToFit="0" vertical="center" wrapText="1"/>
    </xf>
    <xf borderId="1" fillId="0" fontId="28" numFmtId="0" xfId="0" applyAlignment="1" applyBorder="1" applyFont="1">
      <alignment shrinkToFit="0" wrapText="1"/>
    </xf>
    <xf borderId="3" fillId="0" fontId="42" numFmtId="0" xfId="0" applyAlignment="1" applyBorder="1" applyFont="1">
      <alignment horizontal="center" shrinkToFit="0" vertical="center" wrapText="1"/>
    </xf>
    <xf borderId="10" fillId="0" fontId="31" numFmtId="0" xfId="0" applyAlignment="1" applyBorder="1" applyFont="1">
      <alignment horizontal="center" shrinkToFit="0" vertical="center" wrapText="1"/>
    </xf>
    <xf borderId="0" fillId="0" fontId="43" numFmtId="0" xfId="0" applyAlignment="1" applyFont="1">
      <alignment readingOrder="0" shrinkToFit="0" vertical="bottom" wrapText="0"/>
    </xf>
    <xf borderId="0" fillId="0" fontId="43" numFmtId="0" xfId="0" applyAlignment="1" applyFont="1">
      <alignment shrinkToFit="0" vertical="bottom" wrapText="0"/>
    </xf>
    <xf borderId="0" fillId="0" fontId="43" numFmtId="167" xfId="0" applyAlignment="1" applyFont="1" applyNumberFormat="1">
      <alignment horizontal="right" readingOrder="0" shrinkToFit="0" vertical="bottom" wrapText="0"/>
    </xf>
    <xf borderId="0" fillId="0" fontId="43" numFmtId="168" xfId="0" applyAlignment="1" applyFont="1" applyNumberFormat="1">
      <alignment horizontal="right" readingOrder="0" shrinkToFit="0" vertical="bottom" wrapText="0"/>
    </xf>
    <xf borderId="0" fillId="0" fontId="44" numFmtId="0" xfId="0" applyAlignment="1" applyFont="1">
      <alignment horizontal="center" readingOrder="0"/>
    </xf>
    <xf borderId="0" fillId="0" fontId="43" numFmtId="168" xfId="0" applyAlignment="1" applyFont="1" applyNumberFormat="1">
      <alignment horizontal="right" readingOrder="0" shrinkToFit="0" vertical="bottom" wrapText="0"/>
    </xf>
    <xf borderId="0" fillId="0" fontId="45" numFmtId="168" xfId="0" applyFont="1" applyNumberFormat="1"/>
    <xf borderId="0" fillId="0" fontId="45" numFmtId="0" xfId="0" applyAlignment="1" applyFont="1">
      <alignment readingOrder="0"/>
    </xf>
    <xf borderId="0" fillId="0" fontId="46" numFmtId="0" xfId="0" applyAlignment="1" applyFont="1">
      <alignment readingOrder="0"/>
    </xf>
    <xf borderId="0" fillId="0" fontId="47" numFmtId="0" xfId="0" applyAlignment="1" applyFont="1">
      <alignment readingOrder="0" shrinkToFit="0" vertical="bottom" wrapText="0"/>
    </xf>
    <xf borderId="0" fillId="8" fontId="45" numFmtId="0" xfId="0" applyAlignment="1" applyFill="1" applyFont="1">
      <alignment horizontal="center" readingOrder="0"/>
    </xf>
    <xf borderId="0" fillId="8" fontId="45" numFmtId="0" xfId="0" applyAlignment="1" applyFont="1">
      <alignment horizontal="center" readingOrder="0" shrinkToFit="0" wrapText="1"/>
    </xf>
    <xf borderId="4" fillId="8" fontId="45" numFmtId="0" xfId="0" applyAlignment="1" applyBorder="1" applyFont="1">
      <alignment horizontal="center" readingOrder="0"/>
    </xf>
    <xf borderId="4" fillId="8" fontId="48" numFmtId="0" xfId="0" applyAlignment="1" applyBorder="1" applyFont="1">
      <alignment horizontal="center" readingOrder="0"/>
    </xf>
    <xf borderId="4" fillId="8" fontId="48" numFmtId="0" xfId="0" applyAlignment="1" applyBorder="1" applyFont="1">
      <alignment horizontal="center" readingOrder="0" shrinkToFit="0" wrapText="1"/>
    </xf>
    <xf borderId="4" fillId="0" fontId="49" numFmtId="0" xfId="0" applyAlignment="1" applyBorder="1" applyFont="1">
      <alignment horizontal="center" readingOrder="0" vertical="center"/>
    </xf>
    <xf borderId="1" fillId="0" fontId="9" numFmtId="0" xfId="0" applyAlignment="1" applyBorder="1" applyFont="1">
      <alignment horizontal="center" readingOrder="0" shrinkToFit="0" vertical="center" wrapText="1"/>
    </xf>
    <xf borderId="4" fillId="0" fontId="50" numFmtId="0" xfId="0" applyAlignment="1" applyBorder="1" applyFont="1">
      <alignment horizontal="center" readingOrder="0" shrinkToFit="0" vertical="center" wrapText="1"/>
    </xf>
    <xf borderId="4" fillId="0" fontId="49" numFmtId="167" xfId="0" applyAlignment="1" applyBorder="1" applyFont="1" applyNumberFormat="1">
      <alignment horizontal="center" readingOrder="0" vertical="center"/>
    </xf>
    <xf borderId="4" fillId="0" fontId="49" numFmtId="167" xfId="0" applyAlignment="1" applyBorder="1" applyFont="1" applyNumberFormat="1">
      <alignment vertical="center"/>
    </xf>
    <xf borderId="4" fillId="0" fontId="45" numFmtId="0" xfId="0" applyAlignment="1" applyBorder="1" applyFont="1">
      <alignment horizontal="center" readingOrder="0" vertical="center"/>
    </xf>
    <xf borderId="4" fillId="0" fontId="45" numFmtId="0" xfId="0" applyAlignment="1" applyBorder="1" applyFont="1">
      <alignment horizontal="center" readingOrder="0" shrinkToFit="0" vertical="center" wrapText="1"/>
    </xf>
    <xf borderId="4" fillId="0" fontId="45" numFmtId="167" xfId="0" applyAlignment="1" applyBorder="1" applyFont="1" applyNumberFormat="1">
      <alignment horizontal="center" readingOrder="0" vertical="center"/>
    </xf>
    <xf borderId="4" fillId="0" fontId="51" numFmtId="0" xfId="0" applyAlignment="1" applyBorder="1" applyFont="1">
      <alignment horizontal="center" readingOrder="0" vertical="center"/>
    </xf>
    <xf borderId="0" fillId="0" fontId="52" numFmtId="0" xfId="0" applyAlignment="1" applyFont="1">
      <alignment horizontal="center" shrinkToFit="0" vertical="center" wrapText="1"/>
    </xf>
    <xf borderId="4" fillId="0" fontId="53" numFmtId="0" xfId="0" applyAlignment="1" applyBorder="1" applyFont="1">
      <alignment horizontal="center" readingOrder="0" vertical="center"/>
    </xf>
    <xf borderId="4" fillId="0" fontId="31" numFmtId="0" xfId="0" applyAlignment="1" applyBorder="1" applyFont="1">
      <alignment horizontal="center" readingOrder="0" shrinkToFit="0" vertical="center" wrapText="1"/>
    </xf>
    <xf borderId="4" fillId="0" fontId="54" numFmtId="0" xfId="0" applyAlignment="1" applyBorder="1" applyFont="1">
      <alignment horizontal="center" readingOrder="0" shrinkToFit="0" vertical="center" wrapText="1"/>
    </xf>
    <xf borderId="0" fillId="0" fontId="43" numFmtId="0" xfId="0" applyAlignment="1" applyFont="1">
      <alignment horizontal="center" readingOrder="0" shrinkToFit="0" vertical="bottom" wrapText="0"/>
    </xf>
    <xf borderId="4" fillId="0" fontId="31" numFmtId="167" xfId="0" applyAlignment="1" applyBorder="1" applyFont="1" applyNumberFormat="1">
      <alignment horizontal="center" readingOrder="0" shrinkToFit="0" vertical="center" wrapText="0"/>
    </xf>
    <xf borderId="4" fillId="0" fontId="55" numFmtId="0" xfId="0" applyAlignment="1" applyBorder="1" applyFont="1">
      <alignment horizontal="center" readingOrder="0" vertical="center"/>
    </xf>
    <xf borderId="4" fillId="0" fontId="45" numFmtId="167" xfId="0" applyAlignment="1" applyBorder="1" applyFont="1" applyNumberFormat="1">
      <alignment vertical="center"/>
    </xf>
    <xf borderId="13" fillId="0" fontId="45" numFmtId="0" xfId="0" applyBorder="1" applyFont="1"/>
    <xf borderId="4" fillId="0" fontId="45" numFmtId="0" xfId="0" applyAlignment="1" applyBorder="1" applyFont="1">
      <alignment horizontal="center" readingOrder="0" shrinkToFit="0" wrapText="1"/>
    </xf>
    <xf borderId="4" fillId="0" fontId="45" numFmtId="0" xfId="0" applyAlignment="1" applyBorder="1" applyFont="1">
      <alignment horizontal="center" readingOrder="0"/>
    </xf>
    <xf borderId="4" fillId="0" fontId="45" numFmtId="167" xfId="0" applyAlignment="1" applyBorder="1" applyFont="1" applyNumberFormat="1">
      <alignment horizontal="center" readingOrder="0"/>
    </xf>
    <xf borderId="4" fillId="8" fontId="45" numFmtId="0" xfId="0" applyAlignment="1" applyBorder="1" applyFont="1">
      <alignment readingOrder="0"/>
    </xf>
    <xf borderId="4" fillId="0" fontId="45" numFmtId="167" xfId="0" applyAlignment="1" applyBorder="1" applyFont="1" applyNumberFormat="1">
      <alignment readingOrder="0"/>
    </xf>
    <xf borderId="0" fillId="0" fontId="48" numFmtId="0" xfId="0" applyAlignment="1" applyFont="1">
      <alignment horizontal="center" readingOrder="0"/>
    </xf>
    <xf borderId="0" fillId="0" fontId="45" numFmtId="0" xfId="0" applyAlignment="1" applyFont="1">
      <alignment horizontal="left" readingOrder="0" shrinkToFit="0" vertical="center" wrapText="1"/>
    </xf>
    <xf borderId="0" fillId="0" fontId="45" numFmtId="167" xfId="0" applyAlignment="1" applyFont="1" applyNumberFormat="1">
      <alignment horizontal="left" readingOrder="0" vertical="center"/>
    </xf>
    <xf borderId="4" fillId="0" fontId="45" numFmtId="0" xfId="0" applyAlignment="1" applyBorder="1" applyFont="1">
      <alignment horizontal="left" readingOrder="0" shrinkToFit="0" vertical="center" wrapText="1"/>
    </xf>
    <xf borderId="4" fillId="0" fontId="45" numFmtId="167" xfId="0" applyAlignment="1" applyBorder="1" applyFont="1" applyNumberFormat="1">
      <alignment horizontal="left" readingOrder="0" vertical="center"/>
    </xf>
    <xf borderId="0" fillId="0" fontId="45" numFmtId="0" xfId="0" applyAlignment="1" applyFont="1">
      <alignment horizontal="left" readingOrder="0" vertical="center"/>
    </xf>
    <xf borderId="4" fillId="0" fontId="45" numFmtId="0" xfId="0" applyAlignment="1" applyBorder="1" applyFont="1">
      <alignment horizontal="left"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cortar.link/KBLnsG" TargetMode="External"/><Relationship Id="rId2" Type="http://schemas.openxmlformats.org/officeDocument/2006/relationships/hyperlink" Target="https://acortar.link/th8dDd" TargetMode="External"/><Relationship Id="rId3" Type="http://schemas.openxmlformats.org/officeDocument/2006/relationships/hyperlink" Target="https://acortar.link/khSEC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lkosto.com/combo-logitech-inalambrico-multimedia-teclado-mouse-mk235/p/097855120199" TargetMode="External"/><Relationship Id="rId2" Type="http://schemas.openxmlformats.org/officeDocument/2006/relationships/hyperlink" Target="https://acortar.link/5YYSV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cortar.link/BVkKJw" TargetMode="External"/><Relationship Id="rId2" Type="http://schemas.openxmlformats.org/officeDocument/2006/relationships/hyperlink" Target="https://www.alkosto.com/monitor-lg-gamer-32-pulgadas-32gn55r-negro/p/8806084013996?fuente=google&amp;medio=cpc&amp;campaign=AK_COL_MAX_PEF_CPC_AON_COMP_TLP_Computadores-Brand-AON_PAC&amp;keyword=&amp;gad_source=1&amp;gclid=Cj0KCQjwir2xBhC_ARIsAMTXk85ZgiDRZT3JLaLLDn98cKbMtZBMIwneFnFOp6JbbORQsdRqNzrlFQYaAsuUEALw_wcB"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cortar.link/VY7uR9" TargetMode="External"/><Relationship Id="rId2" Type="http://schemas.openxmlformats.org/officeDocument/2006/relationships/hyperlink" Target="https://acortar.link/KnpJeT" TargetMode="External"/><Relationship Id="rId3" Type="http://schemas.openxmlformats.org/officeDocument/2006/relationships/hyperlink" Target="https://www.exito.com/computador-gamer-intel-core-i5-10400t-ssd-512gb-ram-16gb-600w-80-plus-monitor-22-fhd-100hz-104746363-mp/p"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olimpica.com/todo-en-uno-hp22-dg0011la-intel-celeron-n100-ram-8g-ssd-256g-1002353415/p" TargetMode="External"/><Relationship Id="rId2" Type="http://schemas.openxmlformats.org/officeDocument/2006/relationships/hyperlink" Target="https://acortar.link/C3iE7E" TargetMode="External"/><Relationship Id="rId3" Type="http://schemas.openxmlformats.org/officeDocument/2006/relationships/hyperlink" Target="https://www.olimpica.com/todo-en-uno-hp22-dg0011la-intel-celeron-n100-ram-8g-ssd-256g-1002353415/p" TargetMode="External"/><Relationship Id="rId4" Type="http://schemas.openxmlformats.org/officeDocument/2006/relationships/hyperlink" Target="https://acortar.link/xPuzDh"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cortar.link/lrlTgb" TargetMode="External"/><Relationship Id="rId2" Type="http://schemas.openxmlformats.org/officeDocument/2006/relationships/hyperlink" Target="https://clientes.latinoamericahosting.com.co/cart.php?a=add&amp;domain=register" TargetMode="External"/><Relationship Id="rId3" Type="http://schemas.openxmlformats.org/officeDocument/2006/relationships/hyperlink" Target="https://www.godaddy.com/en-ph/domains"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cortar.link/EejJb1" TargetMode="External"/><Relationship Id="rId2" Type="http://schemas.openxmlformats.org/officeDocument/2006/relationships/hyperlink" Target="https://acortar.link/FVk55c" TargetMode="External"/><Relationship Id="rId3" Type="http://schemas.openxmlformats.org/officeDocument/2006/relationships/hyperlink" Target="https://acortar.link/orolmt"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cortar.link/hfBEou" TargetMode="External"/><Relationship Id="rId2" Type="http://schemas.openxmlformats.org/officeDocument/2006/relationships/hyperlink" Target="https://acortar.link/rlQwlM" TargetMode="External"/><Relationship Id="rId3" Type="http://schemas.openxmlformats.org/officeDocument/2006/relationships/hyperlink" Target="https://acortar.link/bh8hy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cortar.link/IVxUja" TargetMode="External"/><Relationship Id="rId2" Type="http://schemas.openxmlformats.org/officeDocument/2006/relationships/hyperlink" Target="https://www.mercadolibre.com.co/licencia-de-antivirus-mcafee/up/MCOU3181628788" TargetMode="External"/><Relationship Id="rId3" Type="http://schemas.openxmlformats.org/officeDocument/2006/relationships/hyperlink" Target="https://www.ktronix.com/pin-antivirus-mcafee-total-protection-1-dispositivo-1-ano/p/7700149170123"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icrosoft.com/es-co/d/suscripcion-a-visual-studio-professional/dg7gmgf0dst3" TargetMode="External"/><Relationship Id="rId2" Type="http://schemas.openxmlformats.org/officeDocument/2006/relationships/hyperlink" Target="https://bodegadigital.biz/producto/visual-studio-professional-2022/?utm_term=&amp;gadid=717489756940&amp;aelia_cs_currency=COP&amp;bup=Cj0KCQiAxJXJBhD_ARIsAH_JGjjg-3JfVRKRrGUA8vDZ-s8QfQwenN9L9_rz9oNAOnfhHwVQDGAI8KEaApMDEALw_wcB&amp;gad_campaignid=21812087502" TargetMode="External"/><Relationship Id="rId3" Type="http://schemas.openxmlformats.org/officeDocument/2006/relationships/hyperlink" Target="https://www.g2a.com/es/microsoft-visual-studio-2022-professional-pc-microsoft-key-global-i10000325952002?___language=es&amp;er=0c6b2c25e920ca4f162d76506c43c60423093549b94cba45bee4e56c69f869158175bd296268a1c02c52db6af34422c1&amp;uuid=fe0dbc53-5ef8-4d40-98ff-c256915a7881&amp;adid=GA-CO_PEB_TP_CST_PMAX_FULL&amp;id=47&amp;gad_campaignid=21525321002"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ystorecolombia.com/torre/823-servidor-hp-ml30-g11-e2414-16gb-1tb-p65094-001.html"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talently.tech/herramientas/colombia/salario/developer/front-end-developer" TargetMode="External"/><Relationship Id="rId2" Type="http://schemas.openxmlformats.org/officeDocument/2006/relationships/hyperlink" Target="https://talently.tech/herramientas/colombia/salario/developer/back-end-developer" TargetMode="External"/><Relationship Id="rId3" Type="http://schemas.openxmlformats.org/officeDocument/2006/relationships/hyperlink" Target="https://co.indeed.com/career/t%C3%A9cnico-soporte-ti/salaries" TargetMode="External"/><Relationship Id="rId4" Type="http://schemas.openxmlformats.org/officeDocument/2006/relationships/hyperlink" Target="https://www.coderhouse.com/co/sueldos/sueldo-disenador-ux-ui-colombia-2025" TargetMode="Externa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acortar.link/KBLnsG" TargetMode="External"/><Relationship Id="rId2" Type="http://schemas.openxmlformats.org/officeDocument/2006/relationships/hyperlink" Target="https://acortar.link/VY7uR9" TargetMode="External"/><Relationship Id="rId3" Type="http://schemas.openxmlformats.org/officeDocument/2006/relationships/hyperlink" Target="https://acortar.link/xPuzDh" TargetMode="External"/><Relationship Id="rId4" Type="http://schemas.openxmlformats.org/officeDocument/2006/relationships/hyperlink" Target="https://acortar.link/EejJb1" TargetMode="External"/><Relationship Id="rId5" Type="http://schemas.openxmlformats.org/officeDocument/2006/relationships/hyperlink" Target="https://acortar.link/hfBEou" TargetMode="External"/><Relationship Id="rId6" Type="http://schemas.openxmlformats.org/officeDocument/2006/relationships/hyperlink" Target="https://acortar.link/Z7pXYW" TargetMode="External"/><Relationship Id="rId7" Type="http://schemas.openxmlformats.org/officeDocument/2006/relationships/hyperlink" Target="https://acortar.link/F5pyh1" TargetMode="External"/><Relationship Id="rId8"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6.63"/>
    <col customWidth="1" min="4" max="4" width="28.63"/>
    <col customWidth="1" min="5" max="6" width="17.0"/>
    <col customWidth="1" min="7" max="7" width="18.0"/>
    <col customWidth="1" min="8" max="8" width="25.88"/>
    <col customWidth="1" min="9" max="9" width="19.13"/>
    <col customWidth="1" min="10" max="10" width="33.0"/>
    <col customWidth="1" min="11" max="26" width="10.0"/>
  </cols>
  <sheetData>
    <row r="1" ht="12.75" customHeight="1">
      <c r="A1" s="1"/>
      <c r="E1" s="2"/>
    </row>
    <row r="2" ht="27.75" customHeight="1">
      <c r="D2" s="3" t="s">
        <v>0</v>
      </c>
    </row>
    <row r="3" ht="12.75" customHeight="1">
      <c r="E3" s="2"/>
    </row>
    <row r="4" ht="12.75" customHeight="1">
      <c r="E4" s="2"/>
    </row>
    <row r="5" ht="43.5" customHeight="1">
      <c r="A5" s="4" t="s">
        <v>1</v>
      </c>
      <c r="B5" s="5"/>
      <c r="C5" s="5"/>
      <c r="D5" s="5"/>
      <c r="E5" s="5"/>
      <c r="F5" s="5"/>
      <c r="G5" s="5"/>
      <c r="H5" s="5"/>
      <c r="I5" s="5"/>
      <c r="J5" s="6"/>
    </row>
    <row r="6" ht="15.75" customHeight="1">
      <c r="E6" s="2"/>
    </row>
    <row r="7" ht="75.75" customHeight="1">
      <c r="A7" s="7" t="s">
        <v>2</v>
      </c>
      <c r="B7" s="8" t="s">
        <v>3</v>
      </c>
      <c r="C7" s="9" t="s">
        <v>4</v>
      </c>
      <c r="D7" s="8" t="s">
        <v>5</v>
      </c>
      <c r="E7" s="10" t="s">
        <v>6</v>
      </c>
      <c r="F7" s="11" t="s">
        <v>7</v>
      </c>
      <c r="G7" s="12" t="s">
        <v>8</v>
      </c>
      <c r="H7" s="13" t="s">
        <v>9</v>
      </c>
      <c r="I7" s="8" t="s">
        <v>10</v>
      </c>
      <c r="J7" s="8" t="s">
        <v>11</v>
      </c>
      <c r="K7" s="14"/>
      <c r="L7" s="14"/>
      <c r="M7" s="14"/>
      <c r="N7" s="14"/>
      <c r="O7" s="14"/>
      <c r="P7" s="14"/>
      <c r="Q7" s="14"/>
      <c r="R7" s="14"/>
      <c r="S7" s="14"/>
      <c r="T7" s="14"/>
      <c r="U7" s="14"/>
      <c r="V7" s="14"/>
      <c r="W7" s="14"/>
      <c r="X7" s="14"/>
      <c r="Y7" s="14"/>
      <c r="Z7" s="14"/>
    </row>
    <row r="8" ht="111.0" customHeight="1">
      <c r="A8" s="15" t="s">
        <v>12</v>
      </c>
      <c r="B8" s="16" t="s">
        <v>13</v>
      </c>
      <c r="C8" s="17" t="s">
        <v>14</v>
      </c>
      <c r="D8" s="18" t="s">
        <v>15</v>
      </c>
      <c r="E8" s="19">
        <v>260504.0</v>
      </c>
      <c r="F8" s="20">
        <f t="shared" ref="F8:F10" si="1">E8*19%</f>
        <v>49495.76</v>
      </c>
      <c r="G8" s="21">
        <f t="shared" ref="G8:G10" si="2">E8+F8</f>
        <v>309999.76</v>
      </c>
      <c r="H8" s="21">
        <f t="shared" ref="H8:H10" si="3">G8</f>
        <v>309999.76</v>
      </c>
      <c r="I8" s="22" t="s">
        <v>16</v>
      </c>
      <c r="J8" s="23" t="s">
        <v>17</v>
      </c>
    </row>
    <row r="9" ht="126.75" customHeight="1">
      <c r="A9" s="15" t="s">
        <v>18</v>
      </c>
      <c r="B9" s="22" t="s">
        <v>19</v>
      </c>
      <c r="C9" s="24" t="s">
        <v>20</v>
      </c>
      <c r="D9" s="22" t="s">
        <v>21</v>
      </c>
      <c r="E9" s="19">
        <v>181502.0</v>
      </c>
      <c r="F9" s="20">
        <f t="shared" si="1"/>
        <v>34485.38</v>
      </c>
      <c r="G9" s="21">
        <f t="shared" si="2"/>
        <v>215987.38</v>
      </c>
      <c r="H9" s="21">
        <f t="shared" si="3"/>
        <v>215987.38</v>
      </c>
      <c r="I9" s="22" t="s">
        <v>16</v>
      </c>
      <c r="J9" s="22" t="s">
        <v>22</v>
      </c>
    </row>
    <row r="10">
      <c r="A10" s="15" t="s">
        <v>23</v>
      </c>
      <c r="B10" s="16" t="s">
        <v>24</v>
      </c>
      <c r="C10" s="17" t="s">
        <v>25</v>
      </c>
      <c r="D10" s="25" t="s">
        <v>26</v>
      </c>
      <c r="E10" s="19">
        <v>75630.0</v>
      </c>
      <c r="F10" s="20">
        <f t="shared" si="1"/>
        <v>14369.7</v>
      </c>
      <c r="G10" s="21">
        <f t="shared" si="2"/>
        <v>89999.7</v>
      </c>
      <c r="H10" s="21">
        <f t="shared" si="3"/>
        <v>89999.7</v>
      </c>
      <c r="I10" s="22" t="s">
        <v>16</v>
      </c>
      <c r="J10" s="23" t="s">
        <v>27</v>
      </c>
    </row>
    <row r="11" ht="15.0" hidden="1" customHeight="1">
      <c r="A11" s="26"/>
      <c r="B11" s="27"/>
      <c r="C11" s="28"/>
      <c r="D11" s="27"/>
      <c r="E11" s="29"/>
      <c r="F11" s="27"/>
      <c r="G11" s="30" t="s">
        <v>28</v>
      </c>
      <c r="H11" s="30" t="s">
        <v>28</v>
      </c>
      <c r="I11" s="23" t="s">
        <v>16</v>
      </c>
      <c r="J11" s="27"/>
    </row>
    <row r="12" ht="28.5" customHeight="1">
      <c r="E12" s="2"/>
      <c r="G12" s="30"/>
      <c r="H12" s="30"/>
    </row>
    <row r="13" ht="138.75" customHeight="1">
      <c r="A13" s="31" t="s">
        <v>29</v>
      </c>
      <c r="B13" s="5"/>
      <c r="C13" s="5"/>
      <c r="D13" s="5"/>
      <c r="E13" s="5"/>
      <c r="F13" s="5"/>
      <c r="G13" s="5"/>
      <c r="H13" s="5"/>
      <c r="I13" s="5"/>
      <c r="J13" s="6"/>
    </row>
    <row r="14" ht="12.75" customHeight="1">
      <c r="E14" s="2"/>
    </row>
    <row r="15" ht="75.0" customHeight="1">
      <c r="A15" s="31" t="s">
        <v>30</v>
      </c>
      <c r="B15" s="5"/>
      <c r="C15" s="5"/>
      <c r="D15" s="5"/>
      <c r="E15" s="5"/>
      <c r="F15" s="5"/>
      <c r="G15" s="5"/>
      <c r="H15" s="5"/>
      <c r="I15" s="5"/>
      <c r="J15" s="6"/>
    </row>
    <row r="16" ht="12.75" customHeight="1">
      <c r="E16" s="2"/>
    </row>
    <row r="17" ht="12.75" customHeight="1">
      <c r="E17" s="2"/>
    </row>
    <row r="18" ht="12.75" customHeight="1">
      <c r="E18" s="2"/>
    </row>
    <row r="19" ht="12.75" customHeight="1">
      <c r="E19" s="2"/>
    </row>
    <row r="20" ht="12.75" customHeight="1">
      <c r="E20" s="2"/>
    </row>
    <row r="21" ht="12.75" customHeight="1">
      <c r="E21" s="2"/>
    </row>
    <row r="22" ht="12.75" customHeight="1">
      <c r="E22" s="2"/>
    </row>
    <row r="23" ht="12.75" customHeight="1">
      <c r="E23" s="2"/>
    </row>
    <row r="24" ht="12.75" customHeight="1">
      <c r="E24" s="2"/>
    </row>
    <row r="25" ht="12.75" customHeight="1">
      <c r="E25" s="2"/>
    </row>
    <row r="26" ht="12.75" customHeight="1">
      <c r="D26" s="32"/>
      <c r="E26" s="33"/>
      <c r="F26" s="34"/>
      <c r="G26" s="34"/>
    </row>
    <row r="27" ht="12.75" customHeight="1">
      <c r="E27" s="2"/>
    </row>
    <row r="28" ht="12.75" customHeight="1">
      <c r="E28" s="2"/>
    </row>
    <row r="29" ht="12.75" customHeight="1">
      <c r="E29" s="2"/>
    </row>
    <row r="30" ht="12.75" customHeight="1">
      <c r="E30" s="2"/>
    </row>
    <row r="31" ht="12.75" customHeight="1">
      <c r="E31" s="2"/>
    </row>
    <row r="32" ht="12.75" customHeight="1">
      <c r="E32" s="2"/>
    </row>
    <row r="33" ht="12.75" customHeight="1">
      <c r="E33" s="2"/>
    </row>
    <row r="34" ht="12.75" customHeight="1">
      <c r="E34" s="2"/>
    </row>
    <row r="35" ht="12.75" customHeight="1">
      <c r="E35" s="2"/>
    </row>
    <row r="36" ht="12.75" customHeight="1">
      <c r="E36" s="2"/>
    </row>
    <row r="37" ht="12.75" customHeight="1">
      <c r="E37" s="2"/>
    </row>
    <row r="38" ht="12.75" customHeight="1">
      <c r="E38" s="2"/>
    </row>
    <row r="39" ht="12.75" customHeight="1">
      <c r="E39" s="2"/>
    </row>
    <row r="40" ht="12.75" customHeight="1">
      <c r="E40" s="2"/>
    </row>
    <row r="41" ht="12.75" customHeight="1">
      <c r="E41" s="2"/>
    </row>
    <row r="42" ht="12.75" customHeight="1">
      <c r="E42" s="2"/>
    </row>
    <row r="43" ht="12.75" customHeight="1">
      <c r="E43" s="2"/>
    </row>
    <row r="44" ht="12.75" customHeight="1">
      <c r="E44" s="2"/>
    </row>
    <row r="45" ht="12.75" customHeight="1">
      <c r="E45" s="2"/>
    </row>
    <row r="46" ht="12.75" customHeight="1">
      <c r="E46" s="2"/>
    </row>
    <row r="47" ht="12.75" customHeight="1">
      <c r="E47" s="2"/>
    </row>
    <row r="48" ht="12.75" customHeight="1">
      <c r="E48" s="2"/>
    </row>
    <row r="49" ht="12.75" customHeight="1">
      <c r="E49" s="2"/>
    </row>
    <row r="50" ht="12.75" customHeight="1">
      <c r="E50" s="2"/>
    </row>
    <row r="51" ht="12.75" customHeight="1">
      <c r="E51" s="2"/>
    </row>
    <row r="52" ht="12.75" customHeight="1">
      <c r="E52" s="2"/>
    </row>
    <row r="53" ht="12.75" customHeight="1">
      <c r="E53" s="2"/>
    </row>
    <row r="54" ht="12.75" customHeight="1">
      <c r="E54" s="2"/>
    </row>
    <row r="55" ht="12.75" customHeight="1">
      <c r="E55" s="2"/>
    </row>
    <row r="56" ht="12.75" customHeight="1">
      <c r="E56" s="2"/>
    </row>
    <row r="57" ht="12.75" customHeight="1">
      <c r="E57" s="2"/>
    </row>
    <row r="58" ht="12.75" customHeight="1">
      <c r="E58" s="2"/>
    </row>
    <row r="59" ht="12.75" customHeight="1">
      <c r="E59" s="2"/>
    </row>
    <row r="60" ht="12.75" customHeight="1">
      <c r="E60" s="2"/>
    </row>
    <row r="61" ht="12.75" customHeight="1">
      <c r="E61" s="2"/>
    </row>
    <row r="62" ht="12.75" customHeight="1">
      <c r="E62" s="2"/>
    </row>
    <row r="63" ht="12.75" customHeight="1">
      <c r="E63" s="2"/>
    </row>
    <row r="64" ht="12.75" customHeight="1">
      <c r="E64" s="2"/>
    </row>
    <row r="65" ht="12.75" customHeight="1">
      <c r="E65" s="2"/>
    </row>
    <row r="66" ht="12.75" customHeight="1">
      <c r="E66" s="2"/>
    </row>
    <row r="67" ht="12.75" customHeight="1">
      <c r="E67" s="2"/>
    </row>
    <row r="68" ht="12.75" customHeight="1">
      <c r="E68" s="2"/>
    </row>
    <row r="69" ht="12.75" customHeight="1">
      <c r="E69" s="2"/>
    </row>
    <row r="70" ht="12.75" customHeight="1">
      <c r="E70" s="2"/>
    </row>
    <row r="71" ht="12.75" customHeight="1">
      <c r="E71" s="2"/>
    </row>
    <row r="72" ht="12.75" customHeight="1">
      <c r="E72" s="2"/>
    </row>
    <row r="73" ht="12.75" customHeight="1">
      <c r="E73" s="2"/>
    </row>
    <row r="74" ht="12.75" customHeight="1">
      <c r="E74" s="2"/>
    </row>
    <row r="75" ht="12.75" customHeight="1">
      <c r="E75" s="2"/>
    </row>
    <row r="76" ht="12.75" customHeight="1">
      <c r="E76" s="2"/>
    </row>
    <row r="77" ht="12.75" customHeight="1">
      <c r="E77" s="2"/>
    </row>
    <row r="78" ht="12.75" customHeight="1">
      <c r="E78" s="2"/>
    </row>
    <row r="79" ht="12.75" customHeight="1">
      <c r="E79" s="2"/>
    </row>
    <row r="80" ht="12.75" customHeight="1">
      <c r="E80" s="2"/>
    </row>
    <row r="81" ht="12.75" customHeight="1">
      <c r="E81" s="2"/>
    </row>
    <row r="82" ht="12.75" customHeight="1">
      <c r="E82" s="2"/>
    </row>
    <row r="83" ht="12.75" customHeight="1">
      <c r="E83" s="2"/>
    </row>
    <row r="84" ht="12.75" customHeight="1">
      <c r="E84" s="2"/>
    </row>
    <row r="85" ht="12.75" customHeight="1">
      <c r="E85" s="2"/>
    </row>
    <row r="86" ht="12.75" customHeight="1">
      <c r="E86" s="2"/>
    </row>
    <row r="87" ht="12.75" customHeight="1">
      <c r="E87" s="2"/>
    </row>
    <row r="88" ht="12.75" customHeight="1">
      <c r="E88" s="2"/>
    </row>
    <row r="89" ht="12.75" customHeight="1">
      <c r="E89" s="2"/>
    </row>
    <row r="90" ht="12.75" customHeight="1">
      <c r="E90" s="2"/>
    </row>
    <row r="91" ht="12.75" customHeight="1">
      <c r="E91" s="2"/>
    </row>
    <row r="92" ht="12.75" customHeight="1">
      <c r="E92" s="2"/>
    </row>
    <row r="93" ht="12.75" customHeight="1">
      <c r="E93" s="2"/>
    </row>
    <row r="94" ht="12.75" customHeight="1">
      <c r="E94" s="2"/>
    </row>
    <row r="95" ht="12.75" customHeight="1">
      <c r="E95" s="2"/>
    </row>
    <row r="96" ht="12.75" customHeight="1">
      <c r="E96" s="2"/>
    </row>
    <row r="97" ht="12.75" customHeight="1">
      <c r="E97" s="2"/>
    </row>
    <row r="98" ht="12.75" customHeight="1">
      <c r="E98" s="2"/>
    </row>
    <row r="99" ht="12.75" customHeight="1">
      <c r="E99" s="2"/>
    </row>
    <row r="100" ht="12.75" customHeight="1">
      <c r="E100" s="2"/>
    </row>
    <row r="101" ht="12.75" customHeight="1">
      <c r="E101" s="2"/>
    </row>
    <row r="102" ht="12.75" customHeight="1">
      <c r="E102" s="2"/>
    </row>
    <row r="103" ht="12.75" customHeight="1">
      <c r="E103" s="2"/>
    </row>
    <row r="104" ht="12.75" customHeight="1">
      <c r="E104" s="2"/>
    </row>
    <row r="105" ht="12.75" customHeight="1">
      <c r="E105" s="2"/>
    </row>
    <row r="106" ht="12.75" customHeight="1">
      <c r="E106" s="2"/>
    </row>
    <row r="107" ht="12.75" customHeight="1">
      <c r="E107" s="2"/>
    </row>
    <row r="108" ht="12.75" customHeight="1">
      <c r="E108" s="2"/>
    </row>
    <row r="109" ht="12.75" customHeight="1">
      <c r="E109" s="2"/>
    </row>
    <row r="110" ht="12.75" customHeight="1">
      <c r="E110" s="2"/>
    </row>
    <row r="111" ht="12.75" customHeight="1">
      <c r="E111" s="2"/>
    </row>
    <row r="112" ht="12.75" customHeight="1">
      <c r="E112" s="2"/>
    </row>
    <row r="113" ht="12.75" customHeight="1">
      <c r="E113" s="2"/>
    </row>
    <row r="114" ht="12.75" customHeight="1">
      <c r="E114" s="2"/>
    </row>
    <row r="115" ht="12.75" customHeight="1">
      <c r="E115" s="2"/>
    </row>
    <row r="116" ht="12.75" customHeight="1">
      <c r="E116" s="2"/>
    </row>
    <row r="117" ht="12.75" customHeight="1">
      <c r="E117" s="2"/>
    </row>
    <row r="118" ht="12.75" customHeight="1">
      <c r="E118" s="2"/>
    </row>
    <row r="119" ht="12.75" customHeight="1">
      <c r="E119" s="2"/>
    </row>
    <row r="120" ht="12.75" customHeight="1">
      <c r="E120" s="2"/>
    </row>
    <row r="121" ht="12.75" customHeight="1">
      <c r="E121" s="2"/>
    </row>
    <row r="122" ht="12.75" customHeight="1">
      <c r="E122" s="2"/>
    </row>
    <row r="123" ht="12.75" customHeight="1">
      <c r="E123" s="2"/>
    </row>
    <row r="124" ht="12.75" customHeight="1">
      <c r="E124" s="2"/>
    </row>
    <row r="125" ht="12.75" customHeight="1">
      <c r="E125" s="2"/>
    </row>
    <row r="126" ht="12.75" customHeight="1">
      <c r="E126" s="2"/>
    </row>
    <row r="127" ht="12.75" customHeight="1">
      <c r="E127" s="2"/>
    </row>
    <row r="128" ht="12.75" customHeight="1">
      <c r="E128" s="2"/>
    </row>
    <row r="129" ht="12.75" customHeight="1">
      <c r="E129" s="2"/>
    </row>
    <row r="130" ht="12.75" customHeight="1">
      <c r="E130" s="2"/>
    </row>
    <row r="131" ht="12.75" customHeight="1">
      <c r="E131" s="2"/>
    </row>
    <row r="132" ht="12.75" customHeight="1">
      <c r="E132" s="2"/>
    </row>
    <row r="133" ht="12.75" customHeight="1">
      <c r="E133" s="2"/>
    </row>
    <row r="134" ht="12.75" customHeight="1">
      <c r="E134" s="2"/>
    </row>
    <row r="135" ht="12.75" customHeight="1">
      <c r="E135" s="2"/>
    </row>
    <row r="136" ht="12.75" customHeight="1">
      <c r="E136" s="2"/>
    </row>
    <row r="137" ht="12.75" customHeight="1">
      <c r="E137" s="2"/>
    </row>
    <row r="138" ht="12.75" customHeight="1">
      <c r="E138" s="2"/>
    </row>
    <row r="139" ht="12.75" customHeight="1">
      <c r="E139" s="2"/>
    </row>
    <row r="140" ht="12.75" customHeight="1">
      <c r="E140" s="2"/>
    </row>
    <row r="141" ht="12.75" customHeight="1">
      <c r="E141" s="2"/>
    </row>
    <row r="142" ht="12.75" customHeight="1">
      <c r="E142" s="2"/>
    </row>
    <row r="143" ht="12.75" customHeight="1">
      <c r="E143" s="2"/>
    </row>
    <row r="144" ht="12.75" customHeight="1">
      <c r="E144" s="2"/>
    </row>
    <row r="145" ht="12.75" customHeight="1">
      <c r="E145" s="2"/>
    </row>
    <row r="146" ht="12.75" customHeight="1">
      <c r="E146" s="2"/>
    </row>
    <row r="147" ht="12.75" customHeight="1">
      <c r="E147" s="2"/>
    </row>
    <row r="148" ht="12.75" customHeight="1">
      <c r="E148" s="2"/>
    </row>
    <row r="149" ht="12.75" customHeight="1">
      <c r="E149" s="2"/>
    </row>
    <row r="150" ht="12.75" customHeight="1">
      <c r="E150" s="2"/>
    </row>
    <row r="151" ht="12.75" customHeight="1">
      <c r="E151" s="2"/>
    </row>
    <row r="152" ht="12.75" customHeight="1">
      <c r="E152" s="2"/>
    </row>
    <row r="153" ht="12.75" customHeight="1">
      <c r="E153" s="2"/>
    </row>
    <row r="154" ht="12.75" customHeight="1">
      <c r="E154" s="2"/>
    </row>
    <row r="155" ht="12.75" customHeight="1">
      <c r="E155" s="2"/>
    </row>
    <row r="156" ht="12.75" customHeight="1">
      <c r="E156" s="2"/>
    </row>
    <row r="157" ht="12.75" customHeight="1">
      <c r="E157" s="2"/>
    </row>
    <row r="158" ht="12.75" customHeight="1">
      <c r="E158" s="2"/>
    </row>
    <row r="159" ht="12.75" customHeight="1">
      <c r="E159" s="2"/>
    </row>
    <row r="160" ht="12.75" customHeight="1">
      <c r="E160" s="2"/>
    </row>
    <row r="161" ht="12.75" customHeight="1">
      <c r="E161" s="2"/>
    </row>
    <row r="162" ht="12.75" customHeight="1">
      <c r="E162" s="2"/>
    </row>
    <row r="163" ht="12.75" customHeight="1">
      <c r="E163" s="2"/>
    </row>
    <row r="164" ht="12.75" customHeight="1">
      <c r="E164" s="2"/>
    </row>
    <row r="165" ht="12.75" customHeight="1">
      <c r="E165" s="2"/>
    </row>
    <row r="166" ht="12.75" customHeight="1">
      <c r="E166" s="2"/>
    </row>
    <row r="167" ht="12.75" customHeight="1">
      <c r="E167" s="2"/>
    </row>
    <row r="168" ht="12.75" customHeight="1">
      <c r="E168" s="2"/>
    </row>
    <row r="169" ht="12.75" customHeight="1">
      <c r="E169" s="2"/>
    </row>
    <row r="170" ht="12.75" customHeight="1">
      <c r="E170" s="2"/>
    </row>
    <row r="171" ht="12.75" customHeight="1">
      <c r="E171" s="2"/>
    </row>
    <row r="172" ht="12.75" customHeight="1">
      <c r="E172" s="2"/>
    </row>
    <row r="173" ht="12.75" customHeight="1">
      <c r="E173" s="2"/>
    </row>
    <row r="174" ht="12.75" customHeight="1">
      <c r="E174" s="2"/>
    </row>
    <row r="175" ht="12.75" customHeight="1">
      <c r="E175" s="2"/>
    </row>
    <row r="176" ht="12.75" customHeight="1">
      <c r="E176" s="2"/>
    </row>
    <row r="177" ht="12.75" customHeight="1">
      <c r="E177" s="2"/>
    </row>
    <row r="178" ht="12.75" customHeight="1">
      <c r="E178" s="2"/>
    </row>
    <row r="179" ht="12.75" customHeight="1">
      <c r="E179" s="2"/>
    </row>
    <row r="180" ht="12.75" customHeight="1">
      <c r="E180" s="2"/>
    </row>
    <row r="181" ht="12.75" customHeight="1">
      <c r="E181" s="2"/>
    </row>
    <row r="182" ht="12.75" customHeight="1">
      <c r="E182" s="2"/>
    </row>
    <row r="183" ht="12.75" customHeight="1">
      <c r="E183" s="2"/>
    </row>
    <row r="184" ht="12.75" customHeight="1">
      <c r="E184" s="2"/>
    </row>
    <row r="185" ht="12.75" customHeight="1">
      <c r="E185" s="2"/>
    </row>
    <row r="186" ht="12.75" customHeight="1">
      <c r="E186" s="2"/>
    </row>
    <row r="187" ht="12.75" customHeight="1">
      <c r="E187" s="2"/>
    </row>
    <row r="188" ht="12.75" customHeight="1">
      <c r="E188" s="2"/>
    </row>
    <row r="189" ht="12.75" customHeight="1">
      <c r="E189" s="2"/>
    </row>
    <row r="190" ht="12.75" customHeight="1">
      <c r="E190" s="2"/>
    </row>
    <row r="191" ht="12.75" customHeight="1">
      <c r="E191" s="2"/>
    </row>
    <row r="192" ht="12.75" customHeight="1">
      <c r="E192" s="2"/>
    </row>
    <row r="193" ht="12.75" customHeight="1">
      <c r="E193" s="2"/>
    </row>
    <row r="194" ht="12.75" customHeight="1">
      <c r="E194" s="2"/>
    </row>
    <row r="195" ht="12.75" customHeight="1">
      <c r="E195" s="2"/>
    </row>
    <row r="196" ht="12.75" customHeight="1">
      <c r="E196" s="2"/>
    </row>
    <row r="197" ht="12.75" customHeight="1">
      <c r="E197" s="2"/>
    </row>
    <row r="198" ht="12.75" customHeight="1">
      <c r="E198" s="2"/>
    </row>
    <row r="199" ht="12.75" customHeight="1">
      <c r="E199" s="2"/>
    </row>
    <row r="200" ht="12.75" customHeight="1">
      <c r="E200" s="2"/>
    </row>
    <row r="201" ht="12.75" customHeight="1">
      <c r="E201" s="2"/>
    </row>
    <row r="202" ht="12.75" customHeight="1">
      <c r="E202" s="2"/>
    </row>
    <row r="203" ht="12.75" customHeight="1">
      <c r="E203" s="2"/>
    </row>
    <row r="204" ht="12.75" customHeight="1">
      <c r="E204" s="2"/>
    </row>
    <row r="205" ht="12.75" customHeight="1">
      <c r="E205" s="2"/>
    </row>
    <row r="206" ht="12.75" customHeight="1">
      <c r="E206" s="2"/>
    </row>
    <row r="207" ht="12.75" customHeight="1">
      <c r="E207" s="2"/>
    </row>
    <row r="208" ht="12.75" customHeight="1">
      <c r="E208" s="2"/>
    </row>
    <row r="209" ht="12.75" customHeight="1">
      <c r="E209" s="2"/>
    </row>
    <row r="210" ht="12.75" customHeight="1">
      <c r="E210" s="2"/>
    </row>
    <row r="211" ht="12.75" customHeight="1">
      <c r="E211" s="2"/>
    </row>
    <row r="212" ht="12.75" customHeight="1">
      <c r="E212" s="2"/>
    </row>
    <row r="213" ht="12.75" customHeight="1">
      <c r="E213" s="2"/>
    </row>
    <row r="214" ht="12.75" customHeight="1">
      <c r="E214" s="2"/>
    </row>
    <row r="215" ht="12.75" customHeight="1">
      <c r="E215" s="2"/>
    </row>
    <row r="216" ht="12.75" customHeight="1">
      <c r="E216" s="2"/>
    </row>
    <row r="217" ht="12.75" customHeight="1">
      <c r="E217" s="2"/>
    </row>
    <row r="218" ht="12.75" customHeight="1">
      <c r="E218" s="2"/>
    </row>
    <row r="219" ht="12.75" customHeight="1">
      <c r="E219" s="2"/>
    </row>
    <row r="220" ht="12.75" customHeight="1">
      <c r="E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conditionalFormatting sqref="G8:H10">
    <cfRule type="notContainsBlanks" dxfId="0" priority="1">
      <formula>LEN(TRIM(G8))&gt;0</formula>
    </cfRule>
  </conditionalFormatting>
  <hyperlinks>
    <hyperlink r:id="rId1"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6.63"/>
    <col customWidth="1" min="4" max="4" width="28.63"/>
    <col customWidth="1" min="5" max="6" width="17.0"/>
    <col customWidth="1" min="7" max="7" width="18.0"/>
    <col customWidth="1" min="8" max="8" width="25.88"/>
    <col customWidth="1" min="9" max="9" width="19.13"/>
    <col customWidth="1" min="10" max="10" width="19.38"/>
    <col customWidth="1" min="11" max="26" width="10.0"/>
  </cols>
  <sheetData>
    <row r="1" ht="12.75" customHeight="1">
      <c r="E1" s="2"/>
    </row>
    <row r="2" ht="27.75" customHeight="1">
      <c r="D2" s="3" t="s">
        <v>0</v>
      </c>
    </row>
    <row r="3" ht="12.75" customHeight="1">
      <c r="E3" s="2"/>
    </row>
    <row r="4" ht="12.75" customHeight="1">
      <c r="E4" s="2"/>
    </row>
    <row r="5" ht="43.5" customHeight="1">
      <c r="A5" s="4" t="s">
        <v>1</v>
      </c>
      <c r="B5" s="5"/>
      <c r="C5" s="5"/>
      <c r="D5" s="5"/>
      <c r="E5" s="5"/>
      <c r="F5" s="5"/>
      <c r="G5" s="5"/>
      <c r="H5" s="5"/>
      <c r="I5" s="5"/>
      <c r="J5" s="6"/>
    </row>
    <row r="6" ht="15.75" customHeight="1">
      <c r="E6" s="2"/>
    </row>
    <row r="7" ht="75.75" customHeight="1">
      <c r="A7" s="7" t="s">
        <v>2</v>
      </c>
      <c r="B7" s="8" t="s">
        <v>31</v>
      </c>
      <c r="C7" s="8" t="s">
        <v>32</v>
      </c>
      <c r="D7" s="8" t="s">
        <v>33</v>
      </c>
      <c r="E7" s="10" t="s">
        <v>34</v>
      </c>
      <c r="F7" s="11" t="s">
        <v>35</v>
      </c>
      <c r="G7" s="12" t="s">
        <v>36</v>
      </c>
      <c r="H7" s="13" t="s">
        <v>9</v>
      </c>
      <c r="I7" s="8" t="s">
        <v>37</v>
      </c>
      <c r="J7" s="8" t="s">
        <v>38</v>
      </c>
      <c r="K7" s="14"/>
      <c r="L7" s="14"/>
      <c r="M7" s="14"/>
      <c r="N7" s="14"/>
      <c r="O7" s="14"/>
      <c r="P7" s="14"/>
      <c r="Q7" s="14"/>
      <c r="R7" s="14"/>
      <c r="S7" s="14"/>
      <c r="T7" s="14"/>
      <c r="U7" s="14"/>
      <c r="V7" s="14"/>
      <c r="W7" s="14"/>
      <c r="X7" s="14"/>
      <c r="Y7" s="14"/>
      <c r="Z7" s="14"/>
    </row>
    <row r="8" ht="93.75" customHeight="1">
      <c r="A8" s="15" t="s">
        <v>12</v>
      </c>
      <c r="B8" s="22" t="s">
        <v>39</v>
      </c>
      <c r="C8" s="35" t="s">
        <v>40</v>
      </c>
      <c r="D8" s="36" t="s">
        <v>41</v>
      </c>
      <c r="E8" s="37">
        <v>58739.0</v>
      </c>
      <c r="F8" s="38">
        <f t="shared" ref="F8:F10" si="1">E8*19%</f>
        <v>11160.41</v>
      </c>
      <c r="G8" s="39">
        <f t="shared" ref="G8:G10" si="2">E8+F8</f>
        <v>69899.41</v>
      </c>
      <c r="H8" s="39">
        <f t="shared" ref="H8:H10" si="3">G8</f>
        <v>69899.41</v>
      </c>
      <c r="I8" s="22" t="s">
        <v>16</v>
      </c>
      <c r="J8" s="22"/>
    </row>
    <row r="9" ht="155.25" customHeight="1">
      <c r="A9" s="15" t="s">
        <v>18</v>
      </c>
      <c r="B9" s="22" t="s">
        <v>42</v>
      </c>
      <c r="C9" s="35" t="s">
        <v>43</v>
      </c>
      <c r="D9" s="36" t="s">
        <v>41</v>
      </c>
      <c r="E9" s="37">
        <v>419327.0</v>
      </c>
      <c r="F9" s="38">
        <f t="shared" si="1"/>
        <v>79672.13</v>
      </c>
      <c r="G9" s="39">
        <f t="shared" si="2"/>
        <v>498999.13</v>
      </c>
      <c r="H9" s="39">
        <f t="shared" si="3"/>
        <v>498999.13</v>
      </c>
      <c r="I9" s="22" t="s">
        <v>16</v>
      </c>
      <c r="J9" s="22"/>
    </row>
    <row r="10">
      <c r="A10" s="15" t="s">
        <v>23</v>
      </c>
      <c r="B10" s="22" t="s">
        <v>44</v>
      </c>
      <c r="C10" s="40" t="s">
        <v>45</v>
      </c>
      <c r="D10" s="36" t="s">
        <v>41</v>
      </c>
      <c r="E10" s="37">
        <v>78991.0</v>
      </c>
      <c r="F10" s="38">
        <f t="shared" si="1"/>
        <v>15008.29</v>
      </c>
      <c r="G10" s="39">
        <f t="shared" si="2"/>
        <v>93999.29</v>
      </c>
      <c r="H10" s="39">
        <f t="shared" si="3"/>
        <v>93999.29</v>
      </c>
      <c r="I10" s="22" t="s">
        <v>16</v>
      </c>
      <c r="J10" s="23"/>
    </row>
    <row r="11" ht="15.75" customHeight="1">
      <c r="A11" s="26"/>
      <c r="B11" s="27"/>
      <c r="C11" s="27"/>
      <c r="D11" s="27"/>
      <c r="E11" s="29"/>
      <c r="F11" s="27"/>
      <c r="G11" s="30"/>
      <c r="H11" s="30"/>
      <c r="I11" s="23"/>
      <c r="J11" s="27"/>
    </row>
    <row r="12" ht="28.5" customHeight="1">
      <c r="E12" s="2"/>
      <c r="G12" s="30"/>
      <c r="H12" s="30"/>
    </row>
    <row r="13" ht="138.75" customHeight="1">
      <c r="A13" s="31" t="s">
        <v>46</v>
      </c>
      <c r="B13" s="5"/>
      <c r="C13" s="5"/>
      <c r="D13" s="5"/>
      <c r="E13" s="5"/>
      <c r="F13" s="5"/>
      <c r="G13" s="5"/>
      <c r="H13" s="5"/>
      <c r="I13" s="5"/>
      <c r="J13" s="6"/>
    </row>
    <row r="14" ht="12.75" customHeight="1">
      <c r="E14" s="2"/>
    </row>
    <row r="15" ht="75.0" customHeight="1">
      <c r="A15" s="31" t="s">
        <v>47</v>
      </c>
      <c r="B15" s="5"/>
      <c r="C15" s="5"/>
      <c r="D15" s="5"/>
      <c r="E15" s="5"/>
      <c r="F15" s="5"/>
      <c r="G15" s="5"/>
      <c r="H15" s="5"/>
      <c r="I15" s="5"/>
      <c r="J15" s="6"/>
    </row>
    <row r="16" ht="12.75" customHeight="1">
      <c r="E16" s="2"/>
    </row>
    <row r="17" ht="12.75" customHeight="1">
      <c r="E17" s="2"/>
    </row>
    <row r="18" ht="12.75" customHeight="1">
      <c r="E18" s="2"/>
    </row>
    <row r="19" ht="12.75" customHeight="1">
      <c r="E19" s="2"/>
    </row>
    <row r="20" ht="12.75" customHeight="1">
      <c r="E20" s="2"/>
    </row>
    <row r="21" ht="12.75" customHeight="1">
      <c r="E21" s="2"/>
    </row>
    <row r="22" ht="12.75" customHeight="1">
      <c r="E22" s="2"/>
    </row>
    <row r="23" ht="12.75" customHeight="1">
      <c r="E23" s="2"/>
    </row>
    <row r="24" ht="12.75" customHeight="1">
      <c r="E24" s="2"/>
    </row>
    <row r="25" ht="12.75" customHeight="1">
      <c r="E25" s="2"/>
    </row>
    <row r="26" ht="12.75" customHeight="1">
      <c r="D26" s="32"/>
      <c r="E26" s="33"/>
      <c r="F26" s="34"/>
      <c r="G26" s="34"/>
    </row>
    <row r="27" ht="12.75" customHeight="1">
      <c r="E27" s="2"/>
    </row>
    <row r="28" ht="12.75" customHeight="1">
      <c r="E28" s="2"/>
    </row>
    <row r="29" ht="12.75" customHeight="1">
      <c r="E29" s="2"/>
    </row>
    <row r="30" ht="12.75" customHeight="1">
      <c r="E30" s="2"/>
    </row>
    <row r="31" ht="12.75" customHeight="1">
      <c r="E31" s="2"/>
    </row>
    <row r="32" ht="12.75" customHeight="1">
      <c r="E32" s="2"/>
    </row>
    <row r="33" ht="12.75" customHeight="1">
      <c r="E33" s="2"/>
    </row>
    <row r="34" ht="12.75" customHeight="1">
      <c r="E34" s="2"/>
    </row>
    <row r="35" ht="12.75" customHeight="1">
      <c r="E35" s="2"/>
    </row>
    <row r="36" ht="12.75" customHeight="1">
      <c r="E36" s="2"/>
    </row>
    <row r="37" ht="12.75" customHeight="1">
      <c r="E37" s="2"/>
    </row>
    <row r="38" ht="12.75" customHeight="1">
      <c r="E38" s="2"/>
    </row>
    <row r="39" ht="12.75" customHeight="1">
      <c r="E39" s="2"/>
    </row>
    <row r="40" ht="12.75" customHeight="1">
      <c r="E40" s="2"/>
    </row>
    <row r="41" ht="12.75" customHeight="1">
      <c r="E41" s="2"/>
    </row>
    <row r="42" ht="12.75" customHeight="1">
      <c r="E42" s="2"/>
    </row>
    <row r="43" ht="12.75" customHeight="1">
      <c r="E43" s="2"/>
    </row>
    <row r="44" ht="12.75" customHeight="1">
      <c r="E44" s="2"/>
    </row>
    <row r="45" ht="12.75" customHeight="1">
      <c r="E45" s="2"/>
    </row>
    <row r="46" ht="12.75" customHeight="1">
      <c r="E46" s="2"/>
    </row>
    <row r="47" ht="12.75" customHeight="1">
      <c r="E47" s="2"/>
    </row>
    <row r="48" ht="12.75" customHeight="1">
      <c r="E48" s="2"/>
    </row>
    <row r="49" ht="12.75" customHeight="1">
      <c r="E49" s="2"/>
    </row>
    <row r="50" ht="12.75" customHeight="1">
      <c r="E50" s="2"/>
    </row>
    <row r="51" ht="12.75" customHeight="1">
      <c r="E51" s="2"/>
    </row>
    <row r="52" ht="12.75" customHeight="1">
      <c r="E52" s="2"/>
    </row>
    <row r="53" ht="12.75" customHeight="1">
      <c r="E53" s="2"/>
    </row>
    <row r="54" ht="12.75" customHeight="1">
      <c r="E54" s="2"/>
    </row>
    <row r="55" ht="12.75" customHeight="1">
      <c r="E55" s="2"/>
    </row>
    <row r="56" ht="12.75" customHeight="1">
      <c r="E56" s="2"/>
    </row>
    <row r="57" ht="12.75" customHeight="1">
      <c r="E57" s="2"/>
    </row>
    <row r="58" ht="12.75" customHeight="1">
      <c r="E58" s="2"/>
    </row>
    <row r="59" ht="12.75" customHeight="1">
      <c r="E59" s="2"/>
    </row>
    <row r="60" ht="12.75" customHeight="1">
      <c r="E60" s="2"/>
    </row>
    <row r="61" ht="12.75" customHeight="1">
      <c r="E61" s="2"/>
    </row>
    <row r="62" ht="12.75" customHeight="1">
      <c r="E62" s="2"/>
    </row>
    <row r="63" ht="12.75" customHeight="1">
      <c r="E63" s="2"/>
    </row>
    <row r="64" ht="12.75" customHeight="1">
      <c r="E64" s="2"/>
    </row>
    <row r="65" ht="12.75" customHeight="1">
      <c r="E65" s="2"/>
    </row>
    <row r="66" ht="12.75" customHeight="1">
      <c r="E66" s="2"/>
    </row>
    <row r="67" ht="12.75" customHeight="1">
      <c r="E67" s="2"/>
    </row>
    <row r="68" ht="12.75" customHeight="1">
      <c r="E68" s="2"/>
    </row>
    <row r="69" ht="12.75" customHeight="1">
      <c r="E69" s="2"/>
    </row>
    <row r="70" ht="12.75" customHeight="1">
      <c r="E70" s="2"/>
    </row>
    <row r="71" ht="12.75" customHeight="1">
      <c r="E71" s="2"/>
    </row>
    <row r="72" ht="12.75" customHeight="1">
      <c r="E72" s="2"/>
    </row>
    <row r="73" ht="12.75" customHeight="1">
      <c r="E73" s="2"/>
    </row>
    <row r="74" ht="12.75" customHeight="1">
      <c r="E74" s="2"/>
    </row>
    <row r="75" ht="12.75" customHeight="1">
      <c r="E75" s="2"/>
    </row>
    <row r="76" ht="12.75" customHeight="1">
      <c r="E76" s="2"/>
    </row>
    <row r="77" ht="12.75" customHeight="1">
      <c r="E77" s="2"/>
    </row>
    <row r="78" ht="12.75" customHeight="1">
      <c r="E78" s="2"/>
    </row>
    <row r="79" ht="12.75" customHeight="1">
      <c r="E79" s="2"/>
    </row>
    <row r="80" ht="12.75" customHeight="1">
      <c r="E80" s="2"/>
    </row>
    <row r="81" ht="12.75" customHeight="1">
      <c r="E81" s="2"/>
    </row>
    <row r="82" ht="12.75" customHeight="1">
      <c r="E82" s="2"/>
    </row>
    <row r="83" ht="12.75" customHeight="1">
      <c r="E83" s="2"/>
    </row>
    <row r="84" ht="12.75" customHeight="1">
      <c r="E84" s="2"/>
    </row>
    <row r="85" ht="12.75" customHeight="1">
      <c r="E85" s="2"/>
    </row>
    <row r="86" ht="12.75" customHeight="1">
      <c r="E86" s="2"/>
    </row>
    <row r="87" ht="12.75" customHeight="1">
      <c r="E87" s="2"/>
    </row>
    <row r="88" ht="12.75" customHeight="1">
      <c r="E88" s="2"/>
    </row>
    <row r="89" ht="12.75" customHeight="1">
      <c r="E89" s="2"/>
    </row>
    <row r="90" ht="12.75" customHeight="1">
      <c r="E90" s="2"/>
    </row>
    <row r="91" ht="12.75" customHeight="1">
      <c r="E91" s="2"/>
    </row>
    <row r="92" ht="12.75" customHeight="1">
      <c r="E92" s="2"/>
    </row>
    <row r="93" ht="12.75" customHeight="1">
      <c r="E93" s="2"/>
    </row>
    <row r="94" ht="12.75" customHeight="1">
      <c r="E94" s="2"/>
    </row>
    <row r="95" ht="12.75" customHeight="1">
      <c r="E95" s="2"/>
    </row>
    <row r="96" ht="12.75" customHeight="1">
      <c r="E96" s="2"/>
    </row>
    <row r="97" ht="12.75" customHeight="1">
      <c r="E97" s="2"/>
    </row>
    <row r="98" ht="12.75" customHeight="1">
      <c r="E98" s="2"/>
    </row>
    <row r="99" ht="12.75" customHeight="1">
      <c r="E99" s="2"/>
    </row>
    <row r="100" ht="12.75" customHeight="1">
      <c r="E100" s="2"/>
    </row>
    <row r="101" ht="12.75" customHeight="1">
      <c r="E101" s="2"/>
    </row>
    <row r="102" ht="12.75" customHeight="1">
      <c r="E102" s="2"/>
    </row>
    <row r="103" ht="12.75" customHeight="1">
      <c r="E103" s="2"/>
    </row>
    <row r="104" ht="12.75" customHeight="1">
      <c r="E104" s="2"/>
    </row>
    <row r="105" ht="12.75" customHeight="1">
      <c r="E105" s="2"/>
    </row>
    <row r="106" ht="12.75" customHeight="1">
      <c r="E106" s="2"/>
    </row>
    <row r="107" ht="12.75" customHeight="1">
      <c r="E107" s="2"/>
    </row>
    <row r="108" ht="12.75" customHeight="1">
      <c r="E108" s="2"/>
    </row>
    <row r="109" ht="12.75" customHeight="1">
      <c r="E109" s="2"/>
    </row>
    <row r="110" ht="12.75" customHeight="1">
      <c r="E110" s="2"/>
    </row>
    <row r="111" ht="12.75" customHeight="1">
      <c r="E111" s="2"/>
    </row>
    <row r="112" ht="12.75" customHeight="1">
      <c r="E112" s="2"/>
    </row>
    <row r="113" ht="12.75" customHeight="1">
      <c r="E113" s="2"/>
    </row>
    <row r="114" ht="12.75" customHeight="1">
      <c r="E114" s="2"/>
    </row>
    <row r="115" ht="12.75" customHeight="1">
      <c r="E115" s="2"/>
    </row>
    <row r="116" ht="12.75" customHeight="1">
      <c r="E116" s="2"/>
    </row>
    <row r="117" ht="12.75" customHeight="1">
      <c r="E117" s="2"/>
    </row>
    <row r="118" ht="12.75" customHeight="1">
      <c r="E118" s="2"/>
    </row>
    <row r="119" ht="12.75" customHeight="1">
      <c r="E119" s="2"/>
    </row>
    <row r="120" ht="12.75" customHeight="1">
      <c r="E120" s="2"/>
    </row>
    <row r="121" ht="12.75" customHeight="1">
      <c r="E121" s="2"/>
    </row>
    <row r="122" ht="12.75" customHeight="1">
      <c r="E122" s="2"/>
    </row>
    <row r="123" ht="12.75" customHeight="1">
      <c r="E123" s="2"/>
    </row>
    <row r="124" ht="12.75" customHeight="1">
      <c r="E124" s="2"/>
    </row>
    <row r="125" ht="12.75" customHeight="1">
      <c r="E125" s="2"/>
    </row>
    <row r="126" ht="12.75" customHeight="1">
      <c r="E126" s="2"/>
    </row>
    <row r="127" ht="12.75" customHeight="1">
      <c r="E127" s="2"/>
    </row>
    <row r="128" ht="12.75" customHeight="1">
      <c r="E128" s="2"/>
    </row>
    <row r="129" ht="12.75" customHeight="1">
      <c r="E129" s="2"/>
    </row>
    <row r="130" ht="12.75" customHeight="1">
      <c r="E130" s="2"/>
    </row>
    <row r="131" ht="12.75" customHeight="1">
      <c r="E131" s="2"/>
    </row>
    <row r="132" ht="12.75" customHeight="1">
      <c r="E132" s="2"/>
    </row>
    <row r="133" ht="12.75" customHeight="1">
      <c r="E133" s="2"/>
    </row>
    <row r="134" ht="12.75" customHeight="1">
      <c r="E134" s="2"/>
    </row>
    <row r="135" ht="12.75" customHeight="1">
      <c r="E135" s="2"/>
    </row>
    <row r="136" ht="12.75" customHeight="1">
      <c r="E136" s="2"/>
    </row>
    <row r="137" ht="12.75" customHeight="1">
      <c r="E137" s="2"/>
    </row>
    <row r="138" ht="12.75" customHeight="1">
      <c r="E138" s="2"/>
    </row>
    <row r="139" ht="12.75" customHeight="1">
      <c r="E139" s="2"/>
    </row>
    <row r="140" ht="12.75" customHeight="1">
      <c r="E140" s="2"/>
    </row>
    <row r="141" ht="12.75" customHeight="1">
      <c r="E141" s="2"/>
    </row>
    <row r="142" ht="12.75" customHeight="1">
      <c r="E142" s="2"/>
    </row>
    <row r="143" ht="12.75" customHeight="1">
      <c r="E143" s="2"/>
    </row>
    <row r="144" ht="12.75" customHeight="1">
      <c r="E144" s="2"/>
    </row>
    <row r="145" ht="12.75" customHeight="1">
      <c r="E145" s="2"/>
    </row>
    <row r="146" ht="12.75" customHeight="1">
      <c r="E146" s="2"/>
    </row>
    <row r="147" ht="12.75" customHeight="1">
      <c r="E147" s="2"/>
    </row>
    <row r="148" ht="12.75" customHeight="1">
      <c r="E148" s="2"/>
    </row>
    <row r="149" ht="12.75" customHeight="1">
      <c r="E149" s="2"/>
    </row>
    <row r="150" ht="12.75" customHeight="1">
      <c r="E150" s="2"/>
    </row>
    <row r="151" ht="12.75" customHeight="1">
      <c r="E151" s="2"/>
    </row>
    <row r="152" ht="12.75" customHeight="1">
      <c r="E152" s="2"/>
    </row>
    <row r="153" ht="12.75" customHeight="1">
      <c r="E153" s="2"/>
    </row>
    <row r="154" ht="12.75" customHeight="1">
      <c r="E154" s="2"/>
    </row>
    <row r="155" ht="12.75" customHeight="1">
      <c r="E155" s="2"/>
    </row>
    <row r="156" ht="12.75" customHeight="1">
      <c r="E156" s="2"/>
    </row>
    <row r="157" ht="12.75" customHeight="1">
      <c r="E157" s="2"/>
    </row>
    <row r="158" ht="12.75" customHeight="1">
      <c r="E158" s="2"/>
    </row>
    <row r="159" ht="12.75" customHeight="1">
      <c r="E159" s="2"/>
    </row>
    <row r="160" ht="12.75" customHeight="1">
      <c r="E160" s="2"/>
    </row>
    <row r="161" ht="12.75" customHeight="1">
      <c r="E161" s="2"/>
    </row>
    <row r="162" ht="12.75" customHeight="1">
      <c r="E162" s="2"/>
    </row>
    <row r="163" ht="12.75" customHeight="1">
      <c r="E163" s="2"/>
    </row>
    <row r="164" ht="12.75" customHeight="1">
      <c r="E164" s="2"/>
    </row>
    <row r="165" ht="12.75" customHeight="1">
      <c r="E165" s="2"/>
    </row>
    <row r="166" ht="12.75" customHeight="1">
      <c r="E166" s="2"/>
    </row>
    <row r="167" ht="12.75" customHeight="1">
      <c r="E167" s="2"/>
    </row>
    <row r="168" ht="12.75" customHeight="1">
      <c r="E168" s="2"/>
    </row>
    <row r="169" ht="12.75" customHeight="1">
      <c r="E169" s="2"/>
    </row>
    <row r="170" ht="12.75" customHeight="1">
      <c r="E170" s="2"/>
    </row>
    <row r="171" ht="12.75" customHeight="1">
      <c r="E171" s="2"/>
    </row>
    <row r="172" ht="12.75" customHeight="1">
      <c r="E172" s="2"/>
    </row>
    <row r="173" ht="12.75" customHeight="1">
      <c r="E173" s="2"/>
    </row>
    <row r="174" ht="12.75" customHeight="1">
      <c r="E174" s="2"/>
    </row>
    <row r="175" ht="12.75" customHeight="1">
      <c r="E175" s="2"/>
    </row>
    <row r="176" ht="12.75" customHeight="1">
      <c r="E176" s="2"/>
    </row>
    <row r="177" ht="12.75" customHeight="1">
      <c r="E177" s="2"/>
    </row>
    <row r="178" ht="12.75" customHeight="1">
      <c r="E178" s="2"/>
    </row>
    <row r="179" ht="12.75" customHeight="1">
      <c r="E179" s="2"/>
    </row>
    <row r="180" ht="12.75" customHeight="1">
      <c r="E180" s="2"/>
    </row>
    <row r="181" ht="12.75" customHeight="1">
      <c r="E181" s="2"/>
    </row>
    <row r="182" ht="12.75" customHeight="1">
      <c r="E182" s="2"/>
    </row>
    <row r="183" ht="12.75" customHeight="1">
      <c r="E183" s="2"/>
    </row>
    <row r="184" ht="12.75" customHeight="1">
      <c r="E184" s="2"/>
    </row>
    <row r="185" ht="12.75" customHeight="1">
      <c r="E185" s="2"/>
    </row>
    <row r="186" ht="12.75" customHeight="1">
      <c r="E186" s="2"/>
    </row>
    <row r="187" ht="12.75" customHeight="1">
      <c r="E187" s="2"/>
    </row>
    <row r="188" ht="12.75" customHeight="1">
      <c r="E188" s="2"/>
    </row>
    <row r="189" ht="12.75" customHeight="1">
      <c r="E189" s="2"/>
    </row>
    <row r="190" ht="12.75" customHeight="1">
      <c r="E190" s="2"/>
    </row>
    <row r="191" ht="12.75" customHeight="1">
      <c r="E191" s="2"/>
    </row>
    <row r="192" ht="12.75" customHeight="1">
      <c r="E192" s="2"/>
    </row>
    <row r="193" ht="12.75" customHeight="1">
      <c r="E193" s="2"/>
    </row>
    <row r="194" ht="12.75" customHeight="1">
      <c r="E194" s="2"/>
    </row>
    <row r="195" ht="12.75" customHeight="1">
      <c r="E195" s="2"/>
    </row>
    <row r="196" ht="12.75" customHeight="1">
      <c r="E196" s="2"/>
    </row>
    <row r="197" ht="12.75" customHeight="1">
      <c r="E197" s="2"/>
    </row>
    <row r="198" ht="12.75" customHeight="1">
      <c r="E198" s="2"/>
    </row>
    <row r="199" ht="12.75" customHeight="1">
      <c r="E199" s="2"/>
    </row>
    <row r="200" ht="12.75" customHeight="1">
      <c r="E200" s="2"/>
    </row>
    <row r="201" ht="12.75" customHeight="1">
      <c r="E201" s="2"/>
    </row>
    <row r="202" ht="12.75" customHeight="1">
      <c r="E202" s="2"/>
    </row>
    <row r="203" ht="12.75" customHeight="1">
      <c r="E203" s="2"/>
    </row>
    <row r="204" ht="12.75" customHeight="1">
      <c r="E204" s="2"/>
    </row>
    <row r="205" ht="12.75" customHeight="1">
      <c r="E205" s="2"/>
    </row>
    <row r="206" ht="12.75" customHeight="1">
      <c r="E206" s="2"/>
    </row>
    <row r="207" ht="12.75" customHeight="1">
      <c r="E207" s="2"/>
    </row>
    <row r="208" ht="12.75" customHeight="1">
      <c r="E208" s="2"/>
    </row>
    <row r="209" ht="12.75" customHeight="1">
      <c r="E209" s="2"/>
    </row>
    <row r="210" ht="12.75" customHeight="1">
      <c r="E210" s="2"/>
    </row>
    <row r="211" ht="12.75" customHeight="1">
      <c r="E211" s="2"/>
    </row>
    <row r="212" ht="12.75" customHeight="1">
      <c r="E212" s="2"/>
    </row>
    <row r="213" ht="12.75" customHeight="1">
      <c r="E213" s="2"/>
    </row>
    <row r="214" ht="12.75" customHeight="1">
      <c r="E214" s="2"/>
    </row>
    <row r="215" ht="12.75" customHeight="1">
      <c r="E215" s="2"/>
    </row>
    <row r="216" ht="12.75" customHeight="1">
      <c r="E216" s="2"/>
    </row>
    <row r="217" ht="12.75" customHeight="1">
      <c r="E217" s="2"/>
    </row>
    <row r="218" ht="12.75" customHeight="1">
      <c r="E218" s="2"/>
    </row>
    <row r="219" ht="12.75" customHeight="1">
      <c r="E219" s="2"/>
    </row>
    <row r="220" ht="12.75" customHeight="1">
      <c r="E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conditionalFormatting sqref="G8:H10">
    <cfRule type="notContainsBlanks" dxfId="0" priority="1">
      <formula>LEN(TRIM(G8))&gt;0</formula>
    </cfRule>
  </conditionalFormatting>
  <hyperlinks>
    <hyperlink r:id="rId1" ref="C8"/>
    <hyperlink r:id="rId2" ref="C10"/>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6.63"/>
    <col customWidth="1" min="4" max="4" width="28.63"/>
    <col customWidth="1" min="5" max="6" width="17.0"/>
    <col customWidth="1" min="7" max="7" width="18.0"/>
    <col customWidth="1" min="8" max="8" width="25.88"/>
    <col customWidth="1" min="9" max="9" width="19.13"/>
    <col customWidth="1" min="10" max="10" width="33.38"/>
    <col customWidth="1" min="11" max="26" width="10.0"/>
  </cols>
  <sheetData>
    <row r="1" ht="12.75" customHeight="1">
      <c r="E1" s="2"/>
    </row>
    <row r="2" ht="27.75" customHeight="1">
      <c r="D2" s="3" t="s">
        <v>0</v>
      </c>
    </row>
    <row r="3" ht="12.75" customHeight="1">
      <c r="E3" s="2"/>
    </row>
    <row r="4" ht="12.75" customHeight="1">
      <c r="E4" s="2"/>
    </row>
    <row r="5" ht="43.5" customHeight="1">
      <c r="A5" s="4" t="s">
        <v>1</v>
      </c>
      <c r="B5" s="5"/>
      <c r="C5" s="5"/>
      <c r="D5" s="5"/>
      <c r="E5" s="5"/>
      <c r="F5" s="5"/>
      <c r="G5" s="5"/>
      <c r="H5" s="5"/>
      <c r="I5" s="5"/>
      <c r="J5" s="6"/>
    </row>
    <row r="6" ht="15.75" customHeight="1">
      <c r="E6" s="2"/>
    </row>
    <row r="7" ht="75.75" customHeight="1">
      <c r="A7" s="7" t="s">
        <v>2</v>
      </c>
      <c r="B7" s="8" t="s">
        <v>48</v>
      </c>
      <c r="C7" s="8" t="s">
        <v>49</v>
      </c>
      <c r="D7" s="8" t="s">
        <v>50</v>
      </c>
      <c r="E7" s="10" t="s">
        <v>51</v>
      </c>
      <c r="F7" s="11" t="s">
        <v>52</v>
      </c>
      <c r="G7" s="12" t="s">
        <v>53</v>
      </c>
      <c r="H7" s="13" t="s">
        <v>9</v>
      </c>
      <c r="I7" s="8" t="s">
        <v>54</v>
      </c>
      <c r="J7" s="8" t="s">
        <v>55</v>
      </c>
      <c r="K7" s="14"/>
      <c r="L7" s="14"/>
      <c r="M7" s="14"/>
      <c r="N7" s="14"/>
      <c r="O7" s="14"/>
      <c r="P7" s="14"/>
      <c r="Q7" s="14"/>
      <c r="R7" s="14"/>
      <c r="S7" s="14"/>
      <c r="T7" s="14"/>
      <c r="U7" s="14"/>
      <c r="V7" s="14"/>
      <c r="W7" s="14"/>
      <c r="X7" s="14"/>
      <c r="Y7" s="14"/>
      <c r="Z7" s="14"/>
    </row>
    <row r="8" ht="93.75" customHeight="1">
      <c r="A8" s="15" t="s">
        <v>12</v>
      </c>
      <c r="B8" s="22" t="s">
        <v>56</v>
      </c>
      <c r="C8" s="41" t="s">
        <v>57</v>
      </c>
      <c r="D8" s="36" t="s">
        <v>58</v>
      </c>
      <c r="E8" s="42">
        <v>369663.0</v>
      </c>
      <c r="F8" s="43">
        <f t="shared" ref="F8:F10" si="1">E8*19%</f>
        <v>70235.97</v>
      </c>
      <c r="G8" s="44">
        <f t="shared" ref="G8:G10" si="2">E8+F8</f>
        <v>439898.97</v>
      </c>
      <c r="H8" s="44">
        <f t="shared" ref="H8:H10" si="3">G8</f>
        <v>439898.97</v>
      </c>
      <c r="I8" s="22" t="s">
        <v>16</v>
      </c>
      <c r="J8" s="22" t="s">
        <v>59</v>
      </c>
    </row>
    <row r="9" ht="179.25" customHeight="1">
      <c r="A9" s="15" t="s">
        <v>18</v>
      </c>
      <c r="B9" s="22" t="s">
        <v>39</v>
      </c>
      <c r="C9" s="41" t="s">
        <v>60</v>
      </c>
      <c r="D9" s="22" t="s">
        <v>61</v>
      </c>
      <c r="E9" s="42">
        <v>377310.0</v>
      </c>
      <c r="F9" s="43">
        <f t="shared" si="1"/>
        <v>71688.9</v>
      </c>
      <c r="G9" s="44">
        <f t="shared" si="2"/>
        <v>448998.9</v>
      </c>
      <c r="H9" s="44">
        <f t="shared" si="3"/>
        <v>448998.9</v>
      </c>
      <c r="I9" s="22" t="s">
        <v>16</v>
      </c>
      <c r="J9" s="22" t="s">
        <v>61</v>
      </c>
    </row>
    <row r="10" ht="126.75" customHeight="1">
      <c r="A10" s="15" t="s">
        <v>23</v>
      </c>
      <c r="B10" s="22" t="s">
        <v>62</v>
      </c>
      <c r="C10" s="45" t="s">
        <v>63</v>
      </c>
      <c r="D10" s="22" t="s">
        <v>64</v>
      </c>
      <c r="E10" s="42">
        <v>604957.0</v>
      </c>
      <c r="F10" s="43">
        <f t="shared" si="1"/>
        <v>114941.83</v>
      </c>
      <c r="G10" s="44">
        <f t="shared" si="2"/>
        <v>719898.83</v>
      </c>
      <c r="H10" s="44">
        <f t="shared" si="3"/>
        <v>719898.83</v>
      </c>
      <c r="I10" s="22" t="s">
        <v>16</v>
      </c>
      <c r="J10" s="22" t="s">
        <v>64</v>
      </c>
    </row>
    <row r="11" ht="15.0" hidden="1" customHeight="1">
      <c r="A11" s="26"/>
      <c r="B11" s="27"/>
      <c r="C11" s="27"/>
      <c r="D11" s="27"/>
      <c r="E11" s="29"/>
      <c r="F11" s="27"/>
      <c r="G11" s="30" t="s">
        <v>28</v>
      </c>
      <c r="H11" s="30" t="s">
        <v>28</v>
      </c>
      <c r="I11" s="23" t="s">
        <v>16</v>
      </c>
      <c r="J11" s="27"/>
    </row>
    <row r="12" ht="28.5" customHeight="1">
      <c r="E12" s="2"/>
      <c r="G12" s="30"/>
      <c r="H12" s="30"/>
    </row>
    <row r="13" ht="138.75" customHeight="1">
      <c r="A13" s="31" t="s">
        <v>65</v>
      </c>
      <c r="B13" s="5"/>
      <c r="C13" s="5"/>
      <c r="D13" s="5"/>
      <c r="E13" s="5"/>
      <c r="F13" s="5"/>
      <c r="G13" s="5"/>
      <c r="H13" s="5"/>
      <c r="I13" s="5"/>
      <c r="J13" s="6"/>
    </row>
    <row r="14" ht="12.75" customHeight="1">
      <c r="E14" s="2"/>
    </row>
    <row r="15" ht="75.0" customHeight="1">
      <c r="A15" s="31" t="s">
        <v>66</v>
      </c>
      <c r="B15" s="5"/>
      <c r="C15" s="5"/>
      <c r="D15" s="5"/>
      <c r="E15" s="5"/>
      <c r="F15" s="5"/>
      <c r="G15" s="5"/>
      <c r="H15" s="5"/>
      <c r="I15" s="5"/>
      <c r="J15" s="6"/>
    </row>
    <row r="16" ht="12.75" customHeight="1">
      <c r="E16" s="2"/>
    </row>
    <row r="17" ht="12.75" customHeight="1">
      <c r="E17" s="2"/>
    </row>
    <row r="18" ht="12.75" customHeight="1">
      <c r="E18" s="2"/>
    </row>
    <row r="19" ht="12.75" customHeight="1">
      <c r="E19" s="2"/>
    </row>
    <row r="20" ht="12.75" customHeight="1">
      <c r="E20" s="2"/>
    </row>
    <row r="21" ht="12.75" customHeight="1">
      <c r="E21" s="2"/>
    </row>
    <row r="22" ht="12.75" customHeight="1">
      <c r="E22" s="2"/>
    </row>
    <row r="23" ht="12.75" customHeight="1">
      <c r="E23" s="2"/>
    </row>
    <row r="24" ht="12.75" customHeight="1">
      <c r="E24" s="2"/>
    </row>
    <row r="25" ht="12.75" customHeight="1">
      <c r="E25" s="2"/>
    </row>
    <row r="26" ht="12.75" customHeight="1">
      <c r="D26" s="32"/>
      <c r="E26" s="33"/>
      <c r="F26" s="34"/>
      <c r="G26" s="34"/>
    </row>
    <row r="27" ht="12.75" customHeight="1">
      <c r="E27" s="2"/>
    </row>
    <row r="28" ht="12.75" customHeight="1">
      <c r="E28" s="2"/>
    </row>
    <row r="29" ht="12.75" customHeight="1">
      <c r="E29" s="2"/>
    </row>
    <row r="30" ht="12.75" customHeight="1">
      <c r="E30" s="2"/>
    </row>
    <row r="31" ht="12.75" customHeight="1">
      <c r="E31" s="2"/>
    </row>
    <row r="32" ht="12.75" customHeight="1">
      <c r="E32" s="2"/>
    </row>
    <row r="33" ht="12.75" customHeight="1">
      <c r="E33" s="2"/>
    </row>
    <row r="34" ht="12.75" customHeight="1">
      <c r="E34" s="2"/>
    </row>
    <row r="35" ht="12.75" customHeight="1">
      <c r="E35" s="2"/>
    </row>
    <row r="36" ht="12.75" customHeight="1">
      <c r="E36" s="2"/>
    </row>
    <row r="37" ht="12.75" customHeight="1">
      <c r="E37" s="2"/>
    </row>
    <row r="38" ht="12.75" customHeight="1">
      <c r="E38" s="2"/>
    </row>
    <row r="39" ht="12.75" customHeight="1">
      <c r="E39" s="2"/>
    </row>
    <row r="40" ht="12.75" customHeight="1">
      <c r="E40" s="2"/>
    </row>
    <row r="41" ht="12.75" customHeight="1">
      <c r="E41" s="2"/>
    </row>
    <row r="42" ht="12.75" customHeight="1">
      <c r="E42" s="2"/>
    </row>
    <row r="43" ht="12.75" customHeight="1">
      <c r="E43" s="2"/>
    </row>
    <row r="44" ht="12.75" customHeight="1">
      <c r="E44" s="2"/>
    </row>
    <row r="45" ht="12.75" customHeight="1">
      <c r="E45" s="2"/>
    </row>
    <row r="46" ht="12.75" customHeight="1">
      <c r="E46" s="2"/>
    </row>
    <row r="47" ht="12.75" customHeight="1">
      <c r="E47" s="2"/>
    </row>
    <row r="48" ht="12.75" customHeight="1">
      <c r="E48" s="2"/>
    </row>
    <row r="49" ht="12.75" customHeight="1">
      <c r="E49" s="2"/>
    </row>
    <row r="50" ht="12.75" customHeight="1">
      <c r="E50" s="2"/>
    </row>
    <row r="51" ht="12.75" customHeight="1">
      <c r="E51" s="2"/>
    </row>
    <row r="52" ht="12.75" customHeight="1">
      <c r="E52" s="2"/>
    </row>
    <row r="53" ht="12.75" customHeight="1">
      <c r="E53" s="2"/>
    </row>
    <row r="54" ht="12.75" customHeight="1">
      <c r="E54" s="2"/>
    </row>
    <row r="55" ht="12.75" customHeight="1">
      <c r="E55" s="2"/>
    </row>
    <row r="56" ht="12.75" customHeight="1">
      <c r="E56" s="2"/>
    </row>
    <row r="57" ht="12.75" customHeight="1">
      <c r="E57" s="2"/>
    </row>
    <row r="58" ht="12.75" customHeight="1">
      <c r="E58" s="2"/>
    </row>
    <row r="59" ht="12.75" customHeight="1">
      <c r="E59" s="2"/>
    </row>
    <row r="60" ht="12.75" customHeight="1">
      <c r="E60" s="2"/>
    </row>
    <row r="61" ht="12.75" customHeight="1">
      <c r="E61" s="2"/>
    </row>
    <row r="62" ht="12.75" customHeight="1">
      <c r="E62" s="2"/>
    </row>
    <row r="63" ht="12.75" customHeight="1">
      <c r="E63" s="2"/>
    </row>
    <row r="64" ht="12.75" customHeight="1">
      <c r="E64" s="2"/>
    </row>
    <row r="65" ht="12.75" customHeight="1">
      <c r="E65" s="2"/>
    </row>
    <row r="66" ht="12.75" customHeight="1">
      <c r="E66" s="2"/>
    </row>
    <row r="67" ht="12.75" customHeight="1">
      <c r="E67" s="2"/>
    </row>
    <row r="68" ht="12.75" customHeight="1">
      <c r="E68" s="2"/>
    </row>
    <row r="69" ht="12.75" customHeight="1">
      <c r="E69" s="2"/>
    </row>
    <row r="70" ht="12.75" customHeight="1">
      <c r="E70" s="2"/>
    </row>
    <row r="71" ht="12.75" customHeight="1">
      <c r="E71" s="2"/>
    </row>
    <row r="72" ht="12.75" customHeight="1">
      <c r="E72" s="2"/>
    </row>
    <row r="73" ht="12.75" customHeight="1">
      <c r="E73" s="2"/>
    </row>
    <row r="74" ht="12.75" customHeight="1">
      <c r="E74" s="2"/>
    </row>
    <row r="75" ht="12.75" customHeight="1">
      <c r="E75" s="2"/>
    </row>
    <row r="76" ht="12.75" customHeight="1">
      <c r="E76" s="2"/>
    </row>
    <row r="77" ht="12.75" customHeight="1">
      <c r="E77" s="2"/>
    </row>
    <row r="78" ht="12.75" customHeight="1">
      <c r="E78" s="2"/>
    </row>
    <row r="79" ht="12.75" customHeight="1">
      <c r="E79" s="2"/>
    </row>
    <row r="80" ht="12.75" customHeight="1">
      <c r="E80" s="2"/>
    </row>
    <row r="81" ht="12.75" customHeight="1">
      <c r="E81" s="2"/>
    </row>
    <row r="82" ht="12.75" customHeight="1">
      <c r="E82" s="2"/>
    </row>
    <row r="83" ht="12.75" customHeight="1">
      <c r="E83" s="2"/>
    </row>
    <row r="84" ht="12.75" customHeight="1">
      <c r="E84" s="2"/>
    </row>
    <row r="85" ht="12.75" customHeight="1">
      <c r="E85" s="2"/>
    </row>
    <row r="86" ht="12.75" customHeight="1">
      <c r="E86" s="2"/>
    </row>
    <row r="87" ht="12.75" customHeight="1">
      <c r="E87" s="2"/>
    </row>
    <row r="88" ht="12.75" customHeight="1">
      <c r="E88" s="2"/>
    </row>
    <row r="89" ht="12.75" customHeight="1">
      <c r="E89" s="2"/>
    </row>
    <row r="90" ht="12.75" customHeight="1">
      <c r="E90" s="2"/>
    </row>
    <row r="91" ht="12.75" customHeight="1">
      <c r="E91" s="2"/>
    </row>
    <row r="92" ht="12.75" customHeight="1">
      <c r="E92" s="2"/>
    </row>
    <row r="93" ht="12.75" customHeight="1">
      <c r="E93" s="2"/>
    </row>
    <row r="94" ht="12.75" customHeight="1">
      <c r="E94" s="2"/>
    </row>
    <row r="95" ht="12.75" customHeight="1">
      <c r="E95" s="2"/>
    </row>
    <row r="96" ht="12.75" customHeight="1">
      <c r="E96" s="2"/>
    </row>
    <row r="97" ht="12.75" customHeight="1">
      <c r="E97" s="2"/>
    </row>
    <row r="98" ht="12.75" customHeight="1">
      <c r="E98" s="2"/>
    </row>
    <row r="99" ht="12.75" customHeight="1">
      <c r="E99" s="2"/>
    </row>
    <row r="100" ht="12.75" customHeight="1">
      <c r="E100" s="2"/>
    </row>
    <row r="101" ht="12.75" customHeight="1">
      <c r="E101" s="2"/>
    </row>
    <row r="102" ht="12.75" customHeight="1">
      <c r="E102" s="2"/>
    </row>
    <row r="103" ht="12.75" customHeight="1">
      <c r="E103" s="2"/>
    </row>
    <row r="104" ht="12.75" customHeight="1">
      <c r="E104" s="2"/>
    </row>
    <row r="105" ht="12.75" customHeight="1">
      <c r="E105" s="2"/>
    </row>
    <row r="106" ht="12.75" customHeight="1">
      <c r="E106" s="2"/>
    </row>
    <row r="107" ht="12.75" customHeight="1">
      <c r="E107" s="2"/>
    </row>
    <row r="108" ht="12.75" customHeight="1">
      <c r="E108" s="2"/>
    </row>
    <row r="109" ht="12.75" customHeight="1">
      <c r="E109" s="2"/>
    </row>
    <row r="110" ht="12.75" customHeight="1">
      <c r="E110" s="2"/>
    </row>
    <row r="111" ht="12.75" customHeight="1">
      <c r="E111" s="2"/>
    </row>
    <row r="112" ht="12.75" customHeight="1">
      <c r="E112" s="2"/>
    </row>
    <row r="113" ht="12.75" customHeight="1">
      <c r="E113" s="2"/>
    </row>
    <row r="114" ht="12.75" customHeight="1">
      <c r="E114" s="2"/>
    </row>
    <row r="115" ht="12.75" customHeight="1">
      <c r="E115" s="2"/>
    </row>
    <row r="116" ht="12.75" customHeight="1">
      <c r="E116" s="2"/>
    </row>
    <row r="117" ht="12.75" customHeight="1">
      <c r="E117" s="2"/>
    </row>
    <row r="118" ht="12.75" customHeight="1">
      <c r="E118" s="2"/>
    </row>
    <row r="119" ht="12.75" customHeight="1">
      <c r="E119" s="2"/>
    </row>
    <row r="120" ht="12.75" customHeight="1">
      <c r="E120" s="2"/>
    </row>
    <row r="121" ht="12.75" customHeight="1">
      <c r="E121" s="2"/>
    </row>
    <row r="122" ht="12.75" customHeight="1">
      <c r="E122" s="2"/>
    </row>
    <row r="123" ht="12.75" customHeight="1">
      <c r="E123" s="2"/>
    </row>
    <row r="124" ht="12.75" customHeight="1">
      <c r="E124" s="2"/>
    </row>
    <row r="125" ht="12.75" customHeight="1">
      <c r="E125" s="2"/>
    </row>
    <row r="126" ht="12.75" customHeight="1">
      <c r="E126" s="2"/>
    </row>
    <row r="127" ht="12.75" customHeight="1">
      <c r="E127" s="2"/>
    </row>
    <row r="128" ht="12.75" customHeight="1">
      <c r="E128" s="2"/>
    </row>
    <row r="129" ht="12.75" customHeight="1">
      <c r="E129" s="2"/>
    </row>
    <row r="130" ht="12.75" customHeight="1">
      <c r="E130" s="2"/>
    </row>
    <row r="131" ht="12.75" customHeight="1">
      <c r="E131" s="2"/>
    </row>
    <row r="132" ht="12.75" customHeight="1">
      <c r="E132" s="2"/>
    </row>
    <row r="133" ht="12.75" customHeight="1">
      <c r="E133" s="2"/>
    </row>
    <row r="134" ht="12.75" customHeight="1">
      <c r="E134" s="2"/>
    </row>
    <row r="135" ht="12.75" customHeight="1">
      <c r="E135" s="2"/>
    </row>
    <row r="136" ht="12.75" customHeight="1">
      <c r="E136" s="2"/>
    </row>
    <row r="137" ht="12.75" customHeight="1">
      <c r="E137" s="2"/>
    </row>
    <row r="138" ht="12.75" customHeight="1">
      <c r="E138" s="2"/>
    </row>
    <row r="139" ht="12.75" customHeight="1">
      <c r="E139" s="2"/>
    </row>
    <row r="140" ht="12.75" customHeight="1">
      <c r="E140" s="2"/>
    </row>
    <row r="141" ht="12.75" customHeight="1">
      <c r="E141" s="2"/>
    </row>
    <row r="142" ht="12.75" customHeight="1">
      <c r="E142" s="2"/>
    </row>
    <row r="143" ht="12.75" customHeight="1">
      <c r="E143" s="2"/>
    </row>
    <row r="144" ht="12.75" customHeight="1">
      <c r="E144" s="2"/>
    </row>
    <row r="145" ht="12.75" customHeight="1">
      <c r="E145" s="2"/>
    </row>
    <row r="146" ht="12.75" customHeight="1">
      <c r="E146" s="2"/>
    </row>
    <row r="147" ht="12.75" customHeight="1">
      <c r="E147" s="2"/>
    </row>
    <row r="148" ht="12.75" customHeight="1">
      <c r="E148" s="2"/>
    </row>
    <row r="149" ht="12.75" customHeight="1">
      <c r="E149" s="2"/>
    </row>
    <row r="150" ht="12.75" customHeight="1">
      <c r="E150" s="2"/>
    </row>
    <row r="151" ht="12.75" customHeight="1">
      <c r="E151" s="2"/>
    </row>
    <row r="152" ht="12.75" customHeight="1">
      <c r="E152" s="2"/>
    </row>
    <row r="153" ht="12.75" customHeight="1">
      <c r="E153" s="2"/>
    </row>
    <row r="154" ht="12.75" customHeight="1">
      <c r="E154" s="2"/>
    </row>
    <row r="155" ht="12.75" customHeight="1">
      <c r="E155" s="2"/>
    </row>
    <row r="156" ht="12.75" customHeight="1">
      <c r="E156" s="2"/>
    </row>
    <row r="157" ht="12.75" customHeight="1">
      <c r="E157" s="2"/>
    </row>
    <row r="158" ht="12.75" customHeight="1">
      <c r="E158" s="2"/>
    </row>
    <row r="159" ht="12.75" customHeight="1">
      <c r="E159" s="2"/>
    </row>
    <row r="160" ht="12.75" customHeight="1">
      <c r="E160" s="2"/>
    </row>
    <row r="161" ht="12.75" customHeight="1">
      <c r="E161" s="2"/>
    </row>
    <row r="162" ht="12.75" customHeight="1">
      <c r="E162" s="2"/>
    </row>
    <row r="163" ht="12.75" customHeight="1">
      <c r="E163" s="2"/>
    </row>
    <row r="164" ht="12.75" customHeight="1">
      <c r="E164" s="2"/>
    </row>
    <row r="165" ht="12.75" customHeight="1">
      <c r="E165" s="2"/>
    </row>
    <row r="166" ht="12.75" customHeight="1">
      <c r="E166" s="2"/>
    </row>
    <row r="167" ht="12.75" customHeight="1">
      <c r="E167" s="2"/>
    </row>
    <row r="168" ht="12.75" customHeight="1">
      <c r="E168" s="2"/>
    </row>
    <row r="169" ht="12.75" customHeight="1">
      <c r="E169" s="2"/>
    </row>
    <row r="170" ht="12.75" customHeight="1">
      <c r="E170" s="2"/>
    </row>
    <row r="171" ht="12.75" customHeight="1">
      <c r="E171" s="2"/>
    </row>
    <row r="172" ht="12.75" customHeight="1">
      <c r="E172" s="2"/>
    </row>
    <row r="173" ht="12.75" customHeight="1">
      <c r="E173" s="2"/>
    </row>
    <row r="174" ht="12.75" customHeight="1">
      <c r="E174" s="2"/>
    </row>
    <row r="175" ht="12.75" customHeight="1">
      <c r="E175" s="2"/>
    </row>
    <row r="176" ht="12.75" customHeight="1">
      <c r="E176" s="2"/>
    </row>
    <row r="177" ht="12.75" customHeight="1">
      <c r="E177" s="2"/>
    </row>
    <row r="178" ht="12.75" customHeight="1">
      <c r="E178" s="2"/>
    </row>
    <row r="179" ht="12.75" customHeight="1">
      <c r="E179" s="2"/>
    </row>
    <row r="180" ht="12.75" customHeight="1">
      <c r="E180" s="2"/>
    </row>
    <row r="181" ht="12.75" customHeight="1">
      <c r="E181" s="2"/>
    </row>
    <row r="182" ht="12.75" customHeight="1">
      <c r="E182" s="2"/>
    </row>
    <row r="183" ht="12.75" customHeight="1">
      <c r="E183" s="2"/>
    </row>
    <row r="184" ht="12.75" customHeight="1">
      <c r="E184" s="2"/>
    </row>
    <row r="185" ht="12.75" customHeight="1">
      <c r="E185" s="2"/>
    </row>
    <row r="186" ht="12.75" customHeight="1">
      <c r="E186" s="2"/>
    </row>
    <row r="187" ht="12.75" customHeight="1">
      <c r="E187" s="2"/>
    </row>
    <row r="188" ht="12.75" customHeight="1">
      <c r="E188" s="2"/>
    </row>
    <row r="189" ht="12.75" customHeight="1">
      <c r="E189" s="2"/>
    </row>
    <row r="190" ht="12.75" customHeight="1">
      <c r="E190" s="2"/>
    </row>
    <row r="191" ht="12.75" customHeight="1">
      <c r="E191" s="2"/>
    </row>
    <row r="192" ht="12.75" customHeight="1">
      <c r="E192" s="2"/>
    </row>
    <row r="193" ht="12.75" customHeight="1">
      <c r="E193" s="2"/>
    </row>
    <row r="194" ht="12.75" customHeight="1">
      <c r="E194" s="2"/>
    </row>
    <row r="195" ht="12.75" customHeight="1">
      <c r="E195" s="2"/>
    </row>
    <row r="196" ht="12.75" customHeight="1">
      <c r="E196" s="2"/>
    </row>
    <row r="197" ht="12.75" customHeight="1">
      <c r="E197" s="2"/>
    </row>
    <row r="198" ht="12.75" customHeight="1">
      <c r="E198" s="2"/>
    </row>
    <row r="199" ht="12.75" customHeight="1">
      <c r="E199" s="2"/>
    </row>
    <row r="200" ht="12.75" customHeight="1">
      <c r="E200" s="2"/>
    </row>
    <row r="201" ht="12.75" customHeight="1">
      <c r="E201" s="2"/>
    </row>
    <row r="202" ht="12.75" customHeight="1">
      <c r="E202" s="2"/>
    </row>
    <row r="203" ht="12.75" customHeight="1">
      <c r="E203" s="2"/>
    </row>
    <row r="204" ht="12.75" customHeight="1">
      <c r="E204" s="2"/>
    </row>
    <row r="205" ht="12.75" customHeight="1">
      <c r="E205" s="2"/>
    </row>
    <row r="206" ht="12.75" customHeight="1">
      <c r="E206" s="2"/>
    </row>
    <row r="207" ht="12.75" customHeight="1">
      <c r="E207" s="2"/>
    </row>
    <row r="208" ht="12.75" customHeight="1">
      <c r="E208" s="2"/>
    </row>
    <row r="209" ht="12.75" customHeight="1">
      <c r="E209" s="2"/>
    </row>
    <row r="210" ht="12.75" customHeight="1">
      <c r="E210" s="2"/>
    </row>
    <row r="211" ht="12.75" customHeight="1">
      <c r="E211" s="2"/>
    </row>
    <row r="212" ht="12.75" customHeight="1">
      <c r="E212" s="2"/>
    </row>
    <row r="213" ht="12.75" customHeight="1">
      <c r="E213" s="2"/>
    </row>
    <row r="214" ht="12.75" customHeight="1">
      <c r="E214" s="2"/>
    </row>
    <row r="215" ht="12.75" customHeight="1">
      <c r="E215" s="2"/>
    </row>
    <row r="216" ht="12.75" customHeight="1">
      <c r="E216" s="2"/>
    </row>
    <row r="217" ht="12.75" customHeight="1">
      <c r="E217" s="2"/>
    </row>
    <row r="218" ht="12.75" customHeight="1">
      <c r="E218" s="2"/>
    </row>
    <row r="219" ht="12.75" customHeight="1">
      <c r="E219" s="2"/>
    </row>
    <row r="220" ht="12.75" customHeight="1">
      <c r="E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conditionalFormatting sqref="G8:H10">
    <cfRule type="notContainsBlanks" dxfId="0" priority="1">
      <formula>LEN(TRIM(G8))&gt;0</formula>
    </cfRule>
  </conditionalFormatting>
  <hyperlinks>
    <hyperlink r:id="rId1" ref="C8"/>
    <hyperlink r:id="rId2" ref="C9"/>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35.38"/>
    <col customWidth="1" min="11" max="26" width="10.0"/>
  </cols>
  <sheetData>
    <row r="1" ht="12.75" customHeight="1"/>
    <row r="2" ht="27.75" customHeight="1">
      <c r="D2" s="3" t="s">
        <v>0</v>
      </c>
    </row>
    <row r="3" ht="12.75" customHeight="1"/>
    <row r="4" ht="12.75" customHeight="1"/>
    <row r="5" ht="43.5" customHeight="1">
      <c r="A5" s="4" t="s">
        <v>1</v>
      </c>
      <c r="B5" s="5"/>
      <c r="C5" s="5"/>
      <c r="D5" s="5"/>
      <c r="E5" s="5"/>
      <c r="F5" s="5"/>
      <c r="G5" s="5"/>
      <c r="H5" s="5"/>
      <c r="I5" s="5"/>
      <c r="J5" s="6"/>
    </row>
    <row r="6" ht="15.75" customHeight="1"/>
    <row r="7" ht="75.75" customHeight="1">
      <c r="A7" s="7" t="s">
        <v>2</v>
      </c>
      <c r="B7" s="8" t="s">
        <v>67</v>
      </c>
      <c r="C7" s="8" t="s">
        <v>68</v>
      </c>
      <c r="D7" s="8" t="s">
        <v>69</v>
      </c>
      <c r="E7" s="8" t="s">
        <v>70</v>
      </c>
      <c r="F7" s="11" t="s">
        <v>71</v>
      </c>
      <c r="G7" s="12" t="s">
        <v>72</v>
      </c>
      <c r="H7" s="13" t="s">
        <v>9</v>
      </c>
      <c r="I7" s="8" t="s">
        <v>73</v>
      </c>
      <c r="J7" s="8" t="s">
        <v>74</v>
      </c>
      <c r="K7" s="14"/>
      <c r="L7" s="14"/>
      <c r="M7" s="14"/>
      <c r="N7" s="14"/>
      <c r="O7" s="14"/>
      <c r="P7" s="14"/>
      <c r="Q7" s="14"/>
      <c r="R7" s="14"/>
      <c r="S7" s="14"/>
      <c r="T7" s="14"/>
      <c r="U7" s="14"/>
      <c r="V7" s="14"/>
      <c r="W7" s="14"/>
      <c r="X7" s="14"/>
      <c r="Y7" s="14"/>
      <c r="Z7" s="14"/>
    </row>
    <row r="8" ht="240.75" customHeight="1">
      <c r="A8" s="15" t="s">
        <v>12</v>
      </c>
      <c r="B8" s="22" t="s">
        <v>75</v>
      </c>
      <c r="C8" s="46" t="s">
        <v>76</v>
      </c>
      <c r="D8" s="22" t="s">
        <v>77</v>
      </c>
      <c r="E8" s="43">
        <v>1694957.0</v>
      </c>
      <c r="F8" s="43">
        <f t="shared" ref="F8:F10" si="1">E8*19%</f>
        <v>322041.83</v>
      </c>
      <c r="G8" s="43">
        <f t="shared" ref="G8:G10" si="2">E8+F8</f>
        <v>2016998.83</v>
      </c>
      <c r="H8" s="43">
        <f t="shared" ref="H8:H10" si="3">G8</f>
        <v>2016998.83</v>
      </c>
      <c r="I8" s="22" t="s">
        <v>16</v>
      </c>
      <c r="J8" s="27" t="s">
        <v>78</v>
      </c>
    </row>
    <row r="9" ht="178.5" customHeight="1">
      <c r="A9" s="15" t="s">
        <v>18</v>
      </c>
      <c r="B9" s="22" t="s">
        <v>79</v>
      </c>
      <c r="C9" s="47" t="s">
        <v>80</v>
      </c>
      <c r="D9" s="22" t="s">
        <v>81</v>
      </c>
      <c r="E9" s="43">
        <v>1595798.0</v>
      </c>
      <c r="F9" s="43">
        <f t="shared" si="1"/>
        <v>303201.62</v>
      </c>
      <c r="G9" s="43">
        <f t="shared" si="2"/>
        <v>1898999.62</v>
      </c>
      <c r="H9" s="43">
        <f t="shared" si="3"/>
        <v>1898999.62</v>
      </c>
      <c r="I9" s="22" t="s">
        <v>16</v>
      </c>
      <c r="J9" s="27" t="s">
        <v>82</v>
      </c>
    </row>
    <row r="10" ht="261.75" customHeight="1">
      <c r="A10" s="15" t="s">
        <v>23</v>
      </c>
      <c r="B10" s="22" t="s">
        <v>83</v>
      </c>
      <c r="C10" s="47" t="s">
        <v>84</v>
      </c>
      <c r="D10" s="22" t="s">
        <v>85</v>
      </c>
      <c r="E10" s="43">
        <v>2599369.0</v>
      </c>
      <c r="F10" s="43">
        <f t="shared" si="1"/>
        <v>493880.11</v>
      </c>
      <c r="G10" s="43">
        <f t="shared" si="2"/>
        <v>3093249.11</v>
      </c>
      <c r="H10" s="43">
        <f t="shared" si="3"/>
        <v>3093249.11</v>
      </c>
      <c r="I10" s="22" t="s">
        <v>16</v>
      </c>
      <c r="J10" s="48" t="s">
        <v>86</v>
      </c>
    </row>
    <row r="11" ht="15.0" hidden="1" customHeight="1">
      <c r="A11" s="26"/>
      <c r="B11" s="27"/>
      <c r="C11" s="27"/>
      <c r="D11" s="27"/>
      <c r="E11" s="27"/>
      <c r="F11" s="27"/>
      <c r="G11" s="27"/>
      <c r="H11" s="27"/>
      <c r="I11" s="27"/>
      <c r="J11" s="27"/>
    </row>
    <row r="12" ht="12.75" customHeight="1"/>
    <row r="13" ht="138.75" customHeight="1">
      <c r="A13" s="31" t="s">
        <v>87</v>
      </c>
      <c r="B13" s="5"/>
      <c r="C13" s="5"/>
      <c r="D13" s="5"/>
      <c r="E13" s="5"/>
      <c r="F13" s="5"/>
      <c r="G13" s="5"/>
      <c r="H13" s="5"/>
      <c r="I13" s="5"/>
      <c r="J13" s="6"/>
    </row>
    <row r="14" ht="12.75" customHeight="1"/>
    <row r="15" ht="75.0" customHeight="1">
      <c r="A15" s="31" t="s">
        <v>88</v>
      </c>
      <c r="B15" s="5"/>
      <c r="C15" s="5"/>
      <c r="D15" s="5"/>
      <c r="E15" s="5"/>
      <c r="F15" s="5"/>
      <c r="G15" s="5"/>
      <c r="H15" s="5"/>
      <c r="I15" s="5"/>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34"/>
      <c r="G26" s="3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57.0"/>
    <col customWidth="1" min="11" max="26" width="10.0"/>
  </cols>
  <sheetData>
    <row r="1" ht="12.75" customHeight="1"/>
    <row r="2" ht="27.75" customHeight="1">
      <c r="D2" s="3" t="s">
        <v>0</v>
      </c>
    </row>
    <row r="3" ht="12.75" customHeight="1"/>
    <row r="4" ht="12.75" customHeight="1"/>
    <row r="5" ht="43.5" customHeight="1">
      <c r="A5" s="4" t="s">
        <v>1</v>
      </c>
      <c r="B5" s="5"/>
      <c r="C5" s="5"/>
      <c r="D5" s="5"/>
      <c r="E5" s="5"/>
      <c r="F5" s="5"/>
      <c r="G5" s="5"/>
      <c r="H5" s="5"/>
      <c r="I5" s="5"/>
      <c r="J5" s="6"/>
    </row>
    <row r="6" ht="15.75" customHeight="1"/>
    <row r="7" ht="55.5" customHeight="1">
      <c r="A7" s="7" t="s">
        <v>2</v>
      </c>
      <c r="B7" s="8" t="s">
        <v>89</v>
      </c>
      <c r="C7" s="8" t="s">
        <v>90</v>
      </c>
      <c r="D7" s="8" t="s">
        <v>91</v>
      </c>
      <c r="E7" s="8" t="s">
        <v>92</v>
      </c>
      <c r="F7" s="11" t="s">
        <v>93</v>
      </c>
      <c r="G7" s="12" t="s">
        <v>94</v>
      </c>
      <c r="H7" s="13" t="s">
        <v>9</v>
      </c>
      <c r="I7" s="8" t="s">
        <v>95</v>
      </c>
      <c r="J7" s="8" t="s">
        <v>96</v>
      </c>
      <c r="K7" s="14"/>
      <c r="L7" s="14"/>
      <c r="M7" s="14"/>
      <c r="N7" s="14"/>
      <c r="O7" s="14"/>
      <c r="P7" s="14"/>
      <c r="Q7" s="14"/>
      <c r="R7" s="14"/>
      <c r="S7" s="14"/>
      <c r="T7" s="14"/>
      <c r="U7" s="14"/>
      <c r="V7" s="14"/>
      <c r="W7" s="14"/>
      <c r="X7" s="14"/>
      <c r="Y7" s="14"/>
      <c r="Z7" s="14"/>
    </row>
    <row r="8" ht="88.5" customHeight="1">
      <c r="A8" s="15" t="s">
        <v>12</v>
      </c>
      <c r="B8" s="22" t="s">
        <v>75</v>
      </c>
      <c r="C8" s="47" t="s">
        <v>97</v>
      </c>
      <c r="D8" s="22" t="s">
        <v>98</v>
      </c>
      <c r="E8" s="43">
        <v>1785062.0</v>
      </c>
      <c r="F8" s="43">
        <f>E8*19%</f>
        <v>339161.78</v>
      </c>
      <c r="G8" s="43">
        <f t="shared" ref="G8:G11" si="1">E8+F8</f>
        <v>2124223.78</v>
      </c>
      <c r="H8" s="43">
        <f t="shared" ref="H8:H10" si="2">G8</f>
        <v>2124223.78</v>
      </c>
      <c r="I8" s="22" t="s">
        <v>16</v>
      </c>
      <c r="J8" s="22" t="s">
        <v>99</v>
      </c>
    </row>
    <row r="9" ht="102.75" customHeight="1">
      <c r="A9" s="15" t="s">
        <v>18</v>
      </c>
      <c r="B9" s="22" t="s">
        <v>100</v>
      </c>
      <c r="C9" s="47" t="s">
        <v>101</v>
      </c>
      <c r="D9" s="22" t="s">
        <v>102</v>
      </c>
      <c r="E9" s="43">
        <v>3159900.0</v>
      </c>
      <c r="F9" s="43">
        <v>0.0</v>
      </c>
      <c r="G9" s="43">
        <f t="shared" si="1"/>
        <v>3159900</v>
      </c>
      <c r="H9" s="43">
        <f t="shared" si="2"/>
        <v>3159900</v>
      </c>
      <c r="I9" s="22" t="s">
        <v>16</v>
      </c>
      <c r="J9" s="49" t="s">
        <v>103</v>
      </c>
    </row>
    <row r="10" ht="177.75" customHeight="1">
      <c r="A10" s="15" t="s">
        <v>23</v>
      </c>
      <c r="B10" s="22" t="s">
        <v>83</v>
      </c>
      <c r="C10" s="46" t="s">
        <v>104</v>
      </c>
      <c r="D10" s="22" t="s">
        <v>105</v>
      </c>
      <c r="E10" s="43">
        <v>1568016.0</v>
      </c>
      <c r="F10" s="43">
        <f>E10*19%</f>
        <v>297923.04</v>
      </c>
      <c r="G10" s="43">
        <f t="shared" si="1"/>
        <v>1865939.04</v>
      </c>
      <c r="H10" s="43">
        <f t="shared" si="2"/>
        <v>1865939.04</v>
      </c>
      <c r="I10" s="22" t="s">
        <v>16</v>
      </c>
      <c r="J10" s="22" t="s">
        <v>106</v>
      </c>
    </row>
    <row r="11" ht="63.75" customHeight="1">
      <c r="A11" s="26"/>
      <c r="B11" s="27"/>
      <c r="C11" s="27"/>
      <c r="D11" s="27"/>
      <c r="E11" s="27"/>
      <c r="F11" s="27"/>
      <c r="G11" s="43">
        <f t="shared" si="1"/>
        <v>0</v>
      </c>
      <c r="H11" s="27"/>
      <c r="I11" s="27"/>
      <c r="J11" s="27"/>
    </row>
    <row r="12" ht="12.75" customHeight="1"/>
    <row r="13" ht="138.75" customHeight="1">
      <c r="A13" s="31" t="s">
        <v>107</v>
      </c>
      <c r="B13" s="5"/>
      <c r="C13" s="5"/>
      <c r="D13" s="5"/>
      <c r="E13" s="5"/>
      <c r="F13" s="5"/>
      <c r="G13" s="5"/>
      <c r="H13" s="5"/>
      <c r="I13" s="5"/>
      <c r="J13" s="6"/>
    </row>
    <row r="14" ht="12.75" customHeight="1"/>
    <row r="15" ht="75.0" customHeight="1">
      <c r="A15" s="31" t="s">
        <v>108</v>
      </c>
      <c r="B15" s="5"/>
      <c r="C15" s="5"/>
      <c r="D15" s="5"/>
      <c r="E15" s="5"/>
      <c r="F15" s="5"/>
      <c r="G15" s="5"/>
      <c r="H15" s="5"/>
      <c r="I15" s="5"/>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34"/>
      <c r="G26" s="3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J9"/>
    <hyperlink r:id="rId4" ref="C10"/>
  </hyperlinks>
  <printOptions/>
  <pageMargins bottom="0.75" footer="0.0" header="0.0" left="0.7" right="0.7" top="0.75"/>
  <pageSetup orientation="landscape"/>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0.38"/>
    <col customWidth="1" min="4" max="4" width="21.88"/>
    <col customWidth="1" min="5" max="6" width="17.0"/>
    <col customWidth="1" min="7" max="7" width="18.0"/>
    <col customWidth="1" min="8" max="8" width="17.0"/>
    <col customWidth="1" min="9" max="9" width="19.13"/>
    <col customWidth="1" min="10" max="10" width="31.38"/>
    <col customWidth="1" min="11" max="26" width="10.0"/>
  </cols>
  <sheetData>
    <row r="1" ht="12.75" customHeight="1"/>
    <row r="2" ht="27.75" customHeight="1">
      <c r="D2" s="3" t="s">
        <v>0</v>
      </c>
    </row>
    <row r="3" ht="12.75" customHeight="1"/>
    <row r="4" ht="12.75" customHeight="1"/>
    <row r="5" ht="43.5" customHeight="1">
      <c r="A5" s="4" t="s">
        <v>1</v>
      </c>
      <c r="B5" s="5"/>
      <c r="C5" s="5"/>
      <c r="D5" s="5"/>
      <c r="E5" s="5"/>
      <c r="F5" s="5"/>
      <c r="G5" s="5"/>
      <c r="H5" s="5"/>
      <c r="I5" s="5"/>
      <c r="J5" s="6"/>
    </row>
    <row r="6" ht="15.75" customHeight="1"/>
    <row r="7" ht="75.75" customHeight="1">
      <c r="A7" s="7" t="s">
        <v>2</v>
      </c>
      <c r="B7" s="8" t="s">
        <v>109</v>
      </c>
      <c r="C7" s="8" t="s">
        <v>110</v>
      </c>
      <c r="D7" s="8" t="s">
        <v>111</v>
      </c>
      <c r="E7" s="8" t="s">
        <v>112</v>
      </c>
      <c r="F7" s="11" t="s">
        <v>113</v>
      </c>
      <c r="G7" s="12" t="s">
        <v>114</v>
      </c>
      <c r="H7" s="13" t="s">
        <v>9</v>
      </c>
      <c r="I7" s="8" t="s">
        <v>115</v>
      </c>
      <c r="J7" s="8" t="s">
        <v>116</v>
      </c>
      <c r="K7" s="14"/>
      <c r="L7" s="14"/>
      <c r="M7" s="14"/>
      <c r="N7" s="14"/>
      <c r="O7" s="14"/>
      <c r="P7" s="14"/>
      <c r="Q7" s="14"/>
      <c r="R7" s="14"/>
      <c r="S7" s="14"/>
      <c r="T7" s="14"/>
      <c r="U7" s="14"/>
      <c r="V7" s="14"/>
      <c r="W7" s="14"/>
      <c r="X7" s="14"/>
      <c r="Y7" s="14"/>
      <c r="Z7" s="14"/>
    </row>
    <row r="8" ht="128.25" customHeight="1">
      <c r="A8" s="15" t="s">
        <v>12</v>
      </c>
      <c r="B8" s="50" t="s">
        <v>13</v>
      </c>
      <c r="C8" s="51" t="s">
        <v>117</v>
      </c>
      <c r="D8" s="50" t="s">
        <v>118</v>
      </c>
      <c r="E8" s="52">
        <v>49495.79</v>
      </c>
      <c r="F8" s="43">
        <f t="shared" ref="F8:F10" si="1">E8*19%</f>
        <v>9404.2001</v>
      </c>
      <c r="G8" s="53">
        <f t="shared" ref="G8:G10" si="2">E8+F8</f>
        <v>58899.9901</v>
      </c>
      <c r="H8" s="53">
        <f t="shared" ref="H8:H10" si="3">G8</f>
        <v>58899.9901</v>
      </c>
      <c r="I8" s="22" t="s">
        <v>16</v>
      </c>
      <c r="J8" s="50" t="s">
        <v>119</v>
      </c>
    </row>
    <row r="9" ht="171.75" customHeight="1">
      <c r="A9" s="15" t="s">
        <v>18</v>
      </c>
      <c r="B9" s="50" t="s">
        <v>24</v>
      </c>
      <c r="C9" s="54" t="s">
        <v>120</v>
      </c>
      <c r="D9" s="50" t="s">
        <v>118</v>
      </c>
      <c r="E9" s="52">
        <v>47478.99</v>
      </c>
      <c r="F9" s="43">
        <f t="shared" si="1"/>
        <v>9021.0081</v>
      </c>
      <c r="G9" s="53">
        <f t="shared" si="2"/>
        <v>56499.9981</v>
      </c>
      <c r="H9" s="53">
        <f t="shared" si="3"/>
        <v>56499.9981</v>
      </c>
      <c r="I9" s="22" t="s">
        <v>16</v>
      </c>
      <c r="J9" s="50" t="s">
        <v>121</v>
      </c>
    </row>
    <row r="10" ht="169.5" customHeight="1">
      <c r="A10" s="15" t="s">
        <v>23</v>
      </c>
      <c r="B10" s="22" t="s">
        <v>19</v>
      </c>
      <c r="C10" s="55" t="s">
        <v>122</v>
      </c>
      <c r="D10" s="50" t="s">
        <v>118</v>
      </c>
      <c r="E10" s="52">
        <v>80734.45</v>
      </c>
      <c r="F10" s="43">
        <f t="shared" si="1"/>
        <v>15339.5455</v>
      </c>
      <c r="G10" s="53">
        <f t="shared" si="2"/>
        <v>96073.9955</v>
      </c>
      <c r="H10" s="53">
        <f t="shared" si="3"/>
        <v>96073.9955</v>
      </c>
      <c r="I10" s="22" t="s">
        <v>16</v>
      </c>
      <c r="J10" s="50" t="s">
        <v>123</v>
      </c>
    </row>
    <row r="11">
      <c r="A11" s="56"/>
      <c r="B11" s="57"/>
      <c r="C11" s="58"/>
      <c r="D11" s="57"/>
      <c r="E11" s="59"/>
      <c r="F11" s="59"/>
      <c r="G11" s="60"/>
      <c r="H11" s="60"/>
      <c r="I11" s="57"/>
      <c r="J11" s="57"/>
    </row>
    <row r="12" ht="15.0" hidden="1" customHeight="1">
      <c r="A12" s="61"/>
      <c r="B12" s="28"/>
      <c r="C12" s="28"/>
      <c r="D12" s="28"/>
      <c r="E12" s="28"/>
      <c r="F12" s="28"/>
      <c r="G12" s="28"/>
      <c r="H12" s="28"/>
      <c r="I12" s="28"/>
      <c r="J12" s="28"/>
    </row>
    <row r="13" ht="138.75" customHeight="1">
      <c r="A13" s="31" t="s">
        <v>124</v>
      </c>
      <c r="B13" s="5"/>
      <c r="C13" s="5"/>
      <c r="D13" s="5"/>
      <c r="E13" s="5"/>
      <c r="F13" s="5"/>
      <c r="G13" s="5"/>
      <c r="H13" s="5"/>
      <c r="I13" s="5"/>
      <c r="J13" s="6"/>
    </row>
    <row r="14" ht="12.75" customHeight="1"/>
    <row r="15" ht="12.75" customHeight="1"/>
    <row r="16" ht="75.0" customHeight="1">
      <c r="A16" s="31" t="s">
        <v>125</v>
      </c>
      <c r="B16" s="5"/>
      <c r="C16" s="5"/>
      <c r="D16" s="5"/>
      <c r="E16" s="5"/>
      <c r="F16" s="5"/>
      <c r="G16" s="5"/>
      <c r="H16" s="5"/>
      <c r="I16" s="5"/>
      <c r="J16" s="6"/>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c r="D27" s="32"/>
      <c r="E27" s="32"/>
      <c r="F27" s="34"/>
      <c r="G27" s="34"/>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6:J16"/>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13"/>
    <col customWidth="1" min="2" max="2" width="17.0"/>
    <col customWidth="1" min="3" max="3" width="16.38"/>
    <col customWidth="1" min="4" max="4" width="18.88"/>
    <col customWidth="1" min="5" max="5" width="12.38"/>
    <col customWidth="1" min="6" max="6" width="16.13"/>
    <col customWidth="1" min="7" max="9" width="12.38"/>
    <col customWidth="1" min="10" max="10" width="42.88"/>
  </cols>
  <sheetData>
    <row r="1">
      <c r="A1" s="62"/>
      <c r="B1" s="62"/>
      <c r="C1" s="62"/>
      <c r="D1" s="62"/>
      <c r="E1" s="62"/>
      <c r="F1" s="62"/>
      <c r="G1" s="62"/>
      <c r="H1" s="62"/>
      <c r="I1" s="62"/>
      <c r="J1" s="62"/>
    </row>
    <row r="2">
      <c r="A2" s="62"/>
      <c r="B2" s="62"/>
      <c r="C2" s="62"/>
      <c r="D2" s="63" t="s">
        <v>0</v>
      </c>
      <c r="I2" s="62"/>
      <c r="J2" s="62"/>
    </row>
    <row r="3">
      <c r="A3" s="62"/>
      <c r="B3" s="62"/>
      <c r="C3" s="62"/>
      <c r="D3" s="62"/>
      <c r="E3" s="62"/>
      <c r="F3" s="62"/>
      <c r="G3" s="62"/>
      <c r="H3" s="62"/>
      <c r="I3" s="62"/>
      <c r="J3" s="62"/>
    </row>
    <row r="4">
      <c r="A4" s="62"/>
      <c r="B4" s="62"/>
      <c r="C4" s="62"/>
      <c r="D4" s="62"/>
      <c r="E4" s="62"/>
      <c r="F4" s="62"/>
      <c r="G4" s="62"/>
      <c r="H4" s="62"/>
      <c r="I4" s="62"/>
      <c r="J4" s="62"/>
    </row>
    <row r="5">
      <c r="A5" s="64" t="s">
        <v>126</v>
      </c>
      <c r="B5" s="5"/>
      <c r="C5" s="5"/>
      <c r="D5" s="5"/>
      <c r="E5" s="5"/>
      <c r="F5" s="5"/>
      <c r="G5" s="5"/>
      <c r="H5" s="5"/>
      <c r="I5" s="5"/>
      <c r="J5" s="65"/>
    </row>
    <row r="6">
      <c r="A6" s="62"/>
      <c r="B6" s="62"/>
      <c r="C6" s="62"/>
      <c r="D6" s="62"/>
      <c r="E6" s="62"/>
      <c r="F6" s="62"/>
      <c r="G6" s="62"/>
      <c r="H6" s="62"/>
      <c r="I6" s="62"/>
      <c r="J6" s="62"/>
    </row>
    <row r="7" ht="91.5" customHeight="1">
      <c r="A7" s="66" t="s">
        <v>127</v>
      </c>
      <c r="B7" s="67" t="s">
        <v>128</v>
      </c>
      <c r="C7" s="67" t="s">
        <v>129</v>
      </c>
      <c r="D7" s="67" t="s">
        <v>130</v>
      </c>
      <c r="E7" s="67" t="s">
        <v>131</v>
      </c>
      <c r="F7" s="68" t="s">
        <v>132</v>
      </c>
      <c r="G7" s="69" t="s">
        <v>133</v>
      </c>
      <c r="H7" s="70" t="s">
        <v>9</v>
      </c>
      <c r="I7" s="67" t="s">
        <v>134</v>
      </c>
      <c r="J7" s="67" t="s">
        <v>135</v>
      </c>
    </row>
    <row r="8" ht="194.25" customHeight="1">
      <c r="A8" s="71" t="s">
        <v>12</v>
      </c>
      <c r="B8" s="72" t="s">
        <v>136</v>
      </c>
      <c r="C8" s="73" t="s">
        <v>137</v>
      </c>
      <c r="D8" s="72" t="s">
        <v>138</v>
      </c>
      <c r="E8" s="74">
        <v>35526.05</v>
      </c>
      <c r="F8" s="74">
        <f t="shared" ref="F8:F10" si="1">E8*19%</f>
        <v>6749.9495</v>
      </c>
      <c r="G8" s="74">
        <f t="shared" ref="G8:G10" si="2">E8+F8</f>
        <v>42275.9995</v>
      </c>
      <c r="H8" s="74">
        <f t="shared" ref="H8:H10" si="3">G8</f>
        <v>42275.9995</v>
      </c>
      <c r="I8" s="74" t="s">
        <v>16</v>
      </c>
      <c r="J8" s="75" t="s">
        <v>139</v>
      </c>
    </row>
    <row r="9" ht="82.5" customHeight="1">
      <c r="A9" s="71" t="s">
        <v>140</v>
      </c>
      <c r="B9" s="76" t="s">
        <v>141</v>
      </c>
      <c r="C9" s="77" t="s">
        <v>142</v>
      </c>
      <c r="D9" s="75" t="s">
        <v>138</v>
      </c>
      <c r="E9" s="74">
        <v>76441.17</v>
      </c>
      <c r="F9" s="74">
        <f t="shared" si="1"/>
        <v>14523.8223</v>
      </c>
      <c r="G9" s="74">
        <f t="shared" si="2"/>
        <v>90964.9923</v>
      </c>
      <c r="H9" s="74">
        <f t="shared" si="3"/>
        <v>90964.9923</v>
      </c>
      <c r="I9" s="74" t="s">
        <v>16</v>
      </c>
      <c r="J9" s="72" t="s">
        <v>143</v>
      </c>
    </row>
    <row r="10" ht="237.0" customHeight="1">
      <c r="A10" s="71" t="s">
        <v>23</v>
      </c>
      <c r="B10" s="72" t="s">
        <v>44</v>
      </c>
      <c r="C10" s="78" t="s">
        <v>144</v>
      </c>
      <c r="D10" s="72" t="s">
        <v>138</v>
      </c>
      <c r="E10" s="74">
        <v>48739.49</v>
      </c>
      <c r="F10" s="74">
        <f t="shared" si="1"/>
        <v>9260.5031</v>
      </c>
      <c r="G10" s="74">
        <f t="shared" si="2"/>
        <v>57999.9931</v>
      </c>
      <c r="H10" s="74">
        <f t="shared" si="3"/>
        <v>57999.9931</v>
      </c>
      <c r="I10" s="74" t="s">
        <v>16</v>
      </c>
      <c r="J10" s="72" t="s">
        <v>145</v>
      </c>
    </row>
    <row r="11">
      <c r="A11" s="79"/>
      <c r="B11" s="80"/>
      <c r="C11" s="80"/>
      <c r="D11" s="80"/>
      <c r="E11" s="80"/>
      <c r="F11" s="80"/>
      <c r="G11" s="80"/>
      <c r="H11" s="80"/>
      <c r="I11" s="80"/>
      <c r="J11" s="80"/>
    </row>
    <row r="12">
      <c r="A12" s="62"/>
      <c r="B12" s="62"/>
      <c r="C12" s="62"/>
      <c r="D12" s="62"/>
      <c r="E12" s="62"/>
      <c r="F12" s="62"/>
      <c r="G12" s="62"/>
      <c r="H12" s="62"/>
      <c r="I12" s="62"/>
      <c r="J12" s="62"/>
    </row>
    <row r="13">
      <c r="A13" s="81" t="s">
        <v>146</v>
      </c>
      <c r="B13" s="5"/>
      <c r="C13" s="5"/>
      <c r="D13" s="5"/>
      <c r="E13" s="5"/>
      <c r="F13" s="5"/>
      <c r="G13" s="5"/>
      <c r="H13" s="5"/>
      <c r="I13" s="5"/>
      <c r="J13" s="5"/>
    </row>
    <row r="14">
      <c r="A14" s="62"/>
      <c r="B14" s="62"/>
      <c r="C14" s="62"/>
      <c r="D14" s="62"/>
      <c r="E14" s="62"/>
      <c r="F14" s="62"/>
      <c r="G14" s="62"/>
      <c r="H14" s="62"/>
      <c r="I14" s="62"/>
      <c r="J14" s="62"/>
    </row>
    <row r="15">
      <c r="A15" s="81" t="s">
        <v>147</v>
      </c>
      <c r="B15" s="5"/>
      <c r="C15" s="5"/>
      <c r="D15" s="5"/>
      <c r="E15" s="5"/>
      <c r="F15" s="5"/>
      <c r="G15" s="5"/>
      <c r="H15" s="5"/>
      <c r="I15" s="5"/>
      <c r="J15"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0" footer="0.0" header="0.0" left="0.0" right="0.0" top="0.0"/>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38"/>
    <col customWidth="1" min="3" max="3" width="31.88"/>
    <col customWidth="1" min="4" max="9" width="12.38"/>
    <col customWidth="1" min="10" max="10" width="41.13"/>
  </cols>
  <sheetData>
    <row r="1">
      <c r="A1" s="62"/>
      <c r="B1" s="62"/>
      <c r="C1" s="62"/>
      <c r="D1" s="62"/>
      <c r="E1" s="62"/>
      <c r="F1" s="62"/>
      <c r="G1" s="62"/>
      <c r="H1" s="62"/>
      <c r="I1" s="62"/>
      <c r="J1" s="62"/>
    </row>
    <row r="2">
      <c r="A2" s="62"/>
      <c r="B2" s="62"/>
      <c r="C2" s="62"/>
      <c r="D2" s="63" t="s">
        <v>0</v>
      </c>
      <c r="I2" s="62"/>
      <c r="J2" s="62"/>
    </row>
    <row r="3">
      <c r="A3" s="62"/>
      <c r="B3" s="62"/>
      <c r="C3" s="62"/>
      <c r="D3" s="62"/>
      <c r="E3" s="62"/>
      <c r="F3" s="62"/>
      <c r="G3" s="62"/>
      <c r="H3" s="62"/>
      <c r="I3" s="62"/>
      <c r="J3" s="62"/>
    </row>
    <row r="4">
      <c r="A4" s="62"/>
      <c r="B4" s="62"/>
      <c r="C4" s="62"/>
      <c r="D4" s="62"/>
      <c r="E4" s="62"/>
      <c r="F4" s="62"/>
      <c r="G4" s="62"/>
      <c r="H4" s="62"/>
      <c r="I4" s="62"/>
      <c r="J4" s="62"/>
    </row>
    <row r="5">
      <c r="A5" s="64" t="s">
        <v>126</v>
      </c>
      <c r="B5" s="5"/>
      <c r="C5" s="5"/>
      <c r="D5" s="5"/>
      <c r="E5" s="5"/>
      <c r="F5" s="5"/>
      <c r="G5" s="5"/>
      <c r="H5" s="5"/>
      <c r="I5" s="5"/>
      <c r="J5" s="65"/>
    </row>
    <row r="6">
      <c r="A6" s="62"/>
      <c r="B6" s="62"/>
      <c r="C6" s="62"/>
      <c r="D6" s="62"/>
      <c r="E6" s="62"/>
      <c r="F6" s="62"/>
      <c r="G6" s="62"/>
      <c r="H6" s="62"/>
      <c r="I6" s="62"/>
      <c r="J6" s="62"/>
    </row>
    <row r="7" ht="62.25" customHeight="1">
      <c r="A7" s="66" t="s">
        <v>127</v>
      </c>
      <c r="B7" s="67" t="s">
        <v>128</v>
      </c>
      <c r="C7" s="67" t="s">
        <v>129</v>
      </c>
      <c r="D7" s="67" t="s">
        <v>130</v>
      </c>
      <c r="E7" s="67" t="s">
        <v>131</v>
      </c>
      <c r="F7" s="68" t="s">
        <v>132</v>
      </c>
      <c r="G7" s="69" t="s">
        <v>133</v>
      </c>
      <c r="H7" s="82" t="s">
        <v>9</v>
      </c>
      <c r="I7" s="67" t="s">
        <v>134</v>
      </c>
      <c r="J7" s="67" t="s">
        <v>135</v>
      </c>
    </row>
    <row r="8" ht="120.0" customHeight="1">
      <c r="A8" s="66" t="s">
        <v>12</v>
      </c>
      <c r="B8" s="72" t="s">
        <v>148</v>
      </c>
      <c r="C8" s="83" t="s">
        <v>149</v>
      </c>
      <c r="D8" s="75" t="s">
        <v>150</v>
      </c>
      <c r="E8" s="74">
        <v>33529.41</v>
      </c>
      <c r="F8" s="74">
        <f t="shared" ref="F8:F10" si="1">E8*19%</f>
        <v>6370.5879</v>
      </c>
      <c r="G8" s="74">
        <f t="shared" ref="G8:G10" si="2">E8+F8</f>
        <v>39899.9979</v>
      </c>
      <c r="H8" s="74">
        <f t="shared" ref="H8:H10" si="3">G8</f>
        <v>39899.9979</v>
      </c>
      <c r="I8" s="75" t="s">
        <v>16</v>
      </c>
      <c r="J8" s="75" t="s">
        <v>151</v>
      </c>
    </row>
    <row r="9" ht="120.75" customHeight="1">
      <c r="A9" s="66" t="s">
        <v>140</v>
      </c>
      <c r="B9" s="72" t="s">
        <v>152</v>
      </c>
      <c r="C9" s="83" t="s">
        <v>153</v>
      </c>
      <c r="D9" s="75" t="s">
        <v>150</v>
      </c>
      <c r="E9" s="84">
        <v>83949.58</v>
      </c>
      <c r="F9" s="74">
        <f t="shared" si="1"/>
        <v>15950.4202</v>
      </c>
      <c r="G9" s="74">
        <f t="shared" si="2"/>
        <v>99900.0002</v>
      </c>
      <c r="H9" s="74">
        <f t="shared" si="3"/>
        <v>99900.0002</v>
      </c>
      <c r="I9" s="72" t="s">
        <v>154</v>
      </c>
      <c r="J9" s="75" t="s">
        <v>155</v>
      </c>
    </row>
    <row r="10" ht="82.5" customHeight="1">
      <c r="A10" s="66" t="s">
        <v>23</v>
      </c>
      <c r="B10" s="72" t="s">
        <v>136</v>
      </c>
      <c r="C10" s="85" t="s">
        <v>156</v>
      </c>
      <c r="D10" s="75" t="s">
        <v>150</v>
      </c>
      <c r="E10" s="84">
        <v>35526.05</v>
      </c>
      <c r="F10" s="74">
        <f t="shared" si="1"/>
        <v>6749.9495</v>
      </c>
      <c r="G10" s="74">
        <f t="shared" si="2"/>
        <v>42275.9995</v>
      </c>
      <c r="H10" s="74">
        <f t="shared" si="3"/>
        <v>42275.9995</v>
      </c>
      <c r="I10" s="72" t="s">
        <v>154</v>
      </c>
      <c r="J10" s="75" t="s">
        <v>157</v>
      </c>
    </row>
    <row r="11">
      <c r="A11" s="79"/>
      <c r="B11" s="80"/>
      <c r="C11" s="80"/>
      <c r="D11" s="80"/>
      <c r="E11" s="80"/>
      <c r="F11" s="80"/>
      <c r="G11" s="80"/>
      <c r="H11" s="80"/>
      <c r="I11" s="80"/>
      <c r="J11" s="80"/>
    </row>
    <row r="12">
      <c r="A12" s="62"/>
      <c r="B12" s="62"/>
      <c r="C12" s="62"/>
      <c r="D12" s="62"/>
      <c r="E12" s="62"/>
      <c r="F12" s="62"/>
      <c r="G12" s="62"/>
      <c r="H12" s="62"/>
      <c r="I12" s="62"/>
      <c r="J12" s="62"/>
    </row>
    <row r="13">
      <c r="A13" s="81" t="s">
        <v>146</v>
      </c>
      <c r="B13" s="5"/>
      <c r="C13" s="5"/>
      <c r="D13" s="5"/>
      <c r="E13" s="5"/>
      <c r="F13" s="5"/>
      <c r="G13" s="5"/>
      <c r="H13" s="5"/>
      <c r="I13" s="5"/>
      <c r="J13" s="5"/>
    </row>
    <row r="14">
      <c r="A14" s="62"/>
      <c r="B14" s="62"/>
      <c r="C14" s="62"/>
      <c r="D14" s="62"/>
      <c r="E14" s="62"/>
      <c r="F14" s="62"/>
      <c r="G14" s="62"/>
      <c r="H14" s="62"/>
      <c r="I14" s="62"/>
      <c r="J14" s="62"/>
    </row>
    <row r="15">
      <c r="A15" s="81" t="s">
        <v>147</v>
      </c>
      <c r="B15" s="5"/>
      <c r="C15" s="5"/>
      <c r="D15" s="5"/>
      <c r="E15" s="5"/>
      <c r="F15" s="5"/>
      <c r="G15" s="5"/>
      <c r="H15" s="5"/>
      <c r="I15" s="5"/>
      <c r="J15"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0" footer="0.0" header="0.0" left="0.0" right="0.0" top="0.0"/>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38"/>
    <col customWidth="1" min="3" max="3" width="32.38"/>
    <col customWidth="1" min="4" max="4" width="15.0"/>
    <col customWidth="1" min="5" max="9" width="12.38"/>
    <col customWidth="1" min="10" max="10" width="56.38"/>
  </cols>
  <sheetData>
    <row r="1">
      <c r="A1" s="62"/>
      <c r="B1" s="62"/>
      <c r="C1" s="62"/>
      <c r="D1" s="62"/>
      <c r="E1" s="62"/>
      <c r="F1" s="62"/>
      <c r="G1" s="62"/>
      <c r="H1" s="62"/>
      <c r="I1" s="62"/>
      <c r="J1" s="62"/>
    </row>
    <row r="2">
      <c r="A2" s="62"/>
      <c r="B2" s="62"/>
      <c r="C2" s="62"/>
      <c r="D2" s="62"/>
      <c r="E2" s="62"/>
      <c r="F2" s="62"/>
      <c r="G2" s="62"/>
      <c r="H2" s="62"/>
      <c r="I2" s="62"/>
      <c r="J2" s="62"/>
    </row>
    <row r="3">
      <c r="A3" s="62"/>
      <c r="B3" s="62"/>
      <c r="C3" s="62"/>
      <c r="D3" s="63" t="s">
        <v>0</v>
      </c>
      <c r="I3" s="62"/>
      <c r="J3" s="62"/>
    </row>
    <row r="4">
      <c r="A4" s="62"/>
      <c r="B4" s="62"/>
      <c r="C4" s="62"/>
      <c r="D4" s="62"/>
      <c r="E4" s="62"/>
      <c r="F4" s="62"/>
      <c r="G4" s="62"/>
      <c r="H4" s="62"/>
      <c r="I4" s="62"/>
      <c r="J4" s="62"/>
    </row>
    <row r="5">
      <c r="A5" s="62"/>
      <c r="B5" s="62"/>
      <c r="C5" s="62"/>
      <c r="D5" s="62"/>
      <c r="E5" s="62"/>
      <c r="F5" s="62"/>
      <c r="G5" s="62"/>
      <c r="H5" s="62"/>
      <c r="I5" s="62"/>
      <c r="J5" s="62"/>
    </row>
    <row r="6">
      <c r="A6" s="64" t="s">
        <v>126</v>
      </c>
      <c r="B6" s="5"/>
      <c r="C6" s="5"/>
      <c r="D6" s="5"/>
      <c r="E6" s="5"/>
      <c r="F6" s="5"/>
      <c r="G6" s="5"/>
      <c r="H6" s="5"/>
      <c r="I6" s="5"/>
      <c r="J6" s="65"/>
    </row>
    <row r="7">
      <c r="A7" s="62"/>
      <c r="B7" s="62"/>
      <c r="C7" s="62"/>
      <c r="D7" s="62"/>
      <c r="E7" s="62"/>
      <c r="F7" s="62"/>
      <c r="G7" s="62"/>
      <c r="H7" s="62"/>
      <c r="I7" s="62"/>
      <c r="J7" s="62"/>
    </row>
    <row r="8" ht="78.0" customHeight="1">
      <c r="A8" s="66" t="s">
        <v>127</v>
      </c>
      <c r="B8" s="86" t="s">
        <v>128</v>
      </c>
      <c r="C8" s="86" t="s">
        <v>129</v>
      </c>
      <c r="D8" s="86" t="s">
        <v>130</v>
      </c>
      <c r="E8" s="86" t="s">
        <v>131</v>
      </c>
      <c r="F8" s="87" t="s">
        <v>132</v>
      </c>
      <c r="G8" s="88" t="s">
        <v>133</v>
      </c>
      <c r="H8" s="89" t="s">
        <v>9</v>
      </c>
      <c r="I8" s="86" t="s">
        <v>134</v>
      </c>
      <c r="J8" s="86" t="s">
        <v>135</v>
      </c>
    </row>
    <row r="9" ht="84.0" customHeight="1">
      <c r="A9" s="90" t="s">
        <v>12</v>
      </c>
      <c r="B9" s="91" t="s">
        <v>158</v>
      </c>
      <c r="C9" s="17" t="s">
        <v>159</v>
      </c>
      <c r="D9" s="72" t="s">
        <v>160</v>
      </c>
      <c r="E9" s="92">
        <v>109159.66</v>
      </c>
      <c r="F9" s="84">
        <f t="shared" ref="F9:F11" si="1">E9*19%</f>
        <v>20740.3354</v>
      </c>
      <c r="G9" s="84">
        <f t="shared" ref="G9:G11" si="2">E9+F9</f>
        <v>129899.9954</v>
      </c>
      <c r="H9" s="84">
        <f t="shared" ref="H9:H11" si="3">G9</f>
        <v>129899.9954</v>
      </c>
      <c r="I9" s="72" t="s">
        <v>16</v>
      </c>
      <c r="J9" s="72" t="s">
        <v>161</v>
      </c>
    </row>
    <row r="10" ht="63.75" customHeight="1">
      <c r="A10" s="90" t="s">
        <v>140</v>
      </c>
      <c r="B10" s="72" t="s">
        <v>44</v>
      </c>
      <c r="C10" s="93" t="s">
        <v>162</v>
      </c>
      <c r="D10" s="72" t="s">
        <v>160</v>
      </c>
      <c r="E10" s="84">
        <v>58798.32</v>
      </c>
      <c r="F10" s="84">
        <f t="shared" si="1"/>
        <v>11171.6808</v>
      </c>
      <c r="G10" s="84">
        <f t="shared" si="2"/>
        <v>69970.0008</v>
      </c>
      <c r="H10" s="84">
        <f t="shared" si="3"/>
        <v>69970.0008</v>
      </c>
      <c r="I10" s="72" t="s">
        <v>16</v>
      </c>
      <c r="J10" s="72" t="s">
        <v>163</v>
      </c>
    </row>
    <row r="11" ht="148.5" customHeight="1">
      <c r="A11" s="66" t="s">
        <v>23</v>
      </c>
      <c r="B11" s="94" t="s">
        <v>164</v>
      </c>
      <c r="C11" s="93" t="s">
        <v>165</v>
      </c>
      <c r="D11" s="72" t="s">
        <v>160</v>
      </c>
      <c r="E11" s="95">
        <v>142773.11</v>
      </c>
      <c r="F11" s="84">
        <f t="shared" si="1"/>
        <v>27126.8909</v>
      </c>
      <c r="G11" s="84">
        <f t="shared" si="2"/>
        <v>169900.0009</v>
      </c>
      <c r="H11" s="84">
        <f t="shared" si="3"/>
        <v>169900.0009</v>
      </c>
      <c r="I11" s="72" t="s">
        <v>16</v>
      </c>
      <c r="J11" s="72" t="s">
        <v>166</v>
      </c>
    </row>
    <row r="12">
      <c r="A12" s="91"/>
      <c r="B12" s="72"/>
      <c r="C12" s="72"/>
      <c r="D12" s="72"/>
      <c r="E12" s="72"/>
      <c r="F12" s="72"/>
      <c r="G12" s="72"/>
      <c r="H12" s="72"/>
      <c r="I12" s="72"/>
      <c r="J12" s="72"/>
    </row>
    <row r="13">
      <c r="A13" s="62"/>
      <c r="B13" s="62"/>
      <c r="C13" s="62"/>
      <c r="D13" s="62"/>
      <c r="E13" s="62"/>
      <c r="F13" s="62"/>
      <c r="G13" s="62"/>
      <c r="H13" s="62"/>
      <c r="I13" s="62"/>
      <c r="J13" s="62"/>
    </row>
    <row r="14">
      <c r="A14" s="81" t="s">
        <v>146</v>
      </c>
      <c r="B14" s="5"/>
      <c r="C14" s="5"/>
      <c r="D14" s="5"/>
      <c r="E14" s="5"/>
      <c r="F14" s="5"/>
      <c r="G14" s="5"/>
      <c r="H14" s="5"/>
      <c r="I14" s="5"/>
      <c r="J14" s="5"/>
    </row>
    <row r="15">
      <c r="A15" s="62"/>
      <c r="B15" s="62"/>
      <c r="C15" s="62"/>
      <c r="D15" s="62"/>
      <c r="E15" s="62"/>
      <c r="F15" s="62"/>
      <c r="G15" s="62"/>
      <c r="H15" s="62"/>
      <c r="I15" s="62"/>
      <c r="J15" s="62"/>
    </row>
    <row r="16">
      <c r="A16" s="81" t="s">
        <v>147</v>
      </c>
      <c r="B16" s="5"/>
      <c r="C16" s="5"/>
      <c r="D16" s="5"/>
      <c r="E16" s="5"/>
      <c r="F16" s="5"/>
      <c r="G16" s="5"/>
      <c r="H16" s="5"/>
      <c r="I16" s="5"/>
      <c r="J1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3:H3"/>
    <mergeCell ref="A6:J6"/>
    <mergeCell ref="A14:J14"/>
    <mergeCell ref="A16:J16"/>
  </mergeCells>
  <hyperlinks>
    <hyperlink r:id="rId1" ref="C9"/>
    <hyperlink r:id="rId2" location="polycard_client=search-nordic&amp;search_layout=stack&amp;position=3&amp;type=product&amp;tracking_id=a4983177-3130-4c37-9d77-0831010e25be&amp;wid=MCO1583630267&amp;sid=search" ref="C10"/>
    <hyperlink r:id="rId3" ref="C11"/>
  </hyperlinks>
  <printOptions/>
  <pageMargins bottom="0.0" footer="0.0" header="0.0" left="0.0" right="0.0" top="0.0"/>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2.38"/>
    <col customWidth="1" min="3" max="3" width="20.38"/>
    <col customWidth="1" min="4" max="4" width="18.0"/>
    <col customWidth="1" min="5" max="5" width="18.63"/>
    <col customWidth="1" min="6" max="6" width="19.38"/>
    <col customWidth="1" min="7" max="7" width="20.38"/>
    <col customWidth="1" min="8" max="8" width="15.13"/>
    <col customWidth="1" min="9" max="9" width="13.38"/>
    <col customWidth="1" min="10" max="10" width="22.38"/>
    <col customWidth="1" min="11" max="26" width="9.13"/>
  </cols>
  <sheetData>
    <row r="1" ht="12.75" customHeight="1">
      <c r="A1" s="62"/>
      <c r="B1" s="62"/>
      <c r="C1" s="62"/>
      <c r="D1" s="62"/>
      <c r="E1" s="62"/>
      <c r="F1" s="62"/>
      <c r="G1" s="62"/>
      <c r="H1" s="96"/>
      <c r="I1" s="62"/>
      <c r="J1" s="62"/>
    </row>
    <row r="2" ht="12.75" customHeight="1">
      <c r="A2" s="62"/>
      <c r="B2" s="62"/>
      <c r="C2" s="62"/>
      <c r="D2" s="62"/>
      <c r="E2" s="62"/>
      <c r="F2" s="62"/>
      <c r="G2" s="62"/>
      <c r="H2" s="96"/>
      <c r="I2" s="62"/>
      <c r="J2" s="62"/>
    </row>
    <row r="3" ht="12.75" customHeight="1">
      <c r="A3" s="62"/>
      <c r="B3" s="62"/>
      <c r="C3" s="62"/>
      <c r="D3" s="97" t="s">
        <v>0</v>
      </c>
      <c r="I3" s="62"/>
      <c r="J3" s="62"/>
    </row>
    <row r="4" ht="12.75" customHeight="1">
      <c r="A4" s="62"/>
      <c r="B4" s="62"/>
      <c r="C4" s="62"/>
      <c r="D4" s="62"/>
      <c r="E4" s="62"/>
      <c r="F4" s="62"/>
      <c r="G4" s="62"/>
      <c r="H4" s="96"/>
      <c r="I4" s="62"/>
      <c r="J4" s="62"/>
    </row>
    <row r="5" ht="12.75" customHeight="1">
      <c r="A5" s="62"/>
      <c r="B5" s="62"/>
      <c r="C5" s="62"/>
      <c r="D5" s="62"/>
      <c r="E5" s="62"/>
      <c r="F5" s="62"/>
      <c r="G5" s="62"/>
      <c r="H5" s="96"/>
      <c r="I5" s="62"/>
      <c r="J5" s="62"/>
    </row>
    <row r="6" ht="12.75" customHeight="1">
      <c r="A6" s="98" t="s">
        <v>1</v>
      </c>
      <c r="B6" s="5"/>
      <c r="C6" s="5"/>
      <c r="D6" s="5"/>
      <c r="E6" s="5"/>
      <c r="F6" s="5"/>
      <c r="G6" s="5"/>
      <c r="H6" s="5"/>
      <c r="I6" s="5"/>
      <c r="J6" s="65"/>
    </row>
    <row r="7" ht="12.75" customHeight="1">
      <c r="A7" s="62"/>
      <c r="B7" s="62"/>
      <c r="C7" s="62"/>
      <c r="D7" s="62"/>
      <c r="E7" s="62"/>
      <c r="F7" s="62"/>
      <c r="G7" s="62"/>
      <c r="H7" s="96"/>
      <c r="I7" s="62"/>
      <c r="J7" s="62"/>
    </row>
    <row r="8" ht="132.75" customHeight="1">
      <c r="A8" s="66" t="s">
        <v>127</v>
      </c>
      <c r="B8" s="67" t="s">
        <v>167</v>
      </c>
      <c r="C8" s="67" t="s">
        <v>168</v>
      </c>
      <c r="D8" s="67" t="s">
        <v>169</v>
      </c>
      <c r="E8" s="86" t="s">
        <v>170</v>
      </c>
      <c r="F8" s="87" t="s">
        <v>171</v>
      </c>
      <c r="G8" s="88" t="s">
        <v>172</v>
      </c>
      <c r="H8" s="89" t="s">
        <v>9</v>
      </c>
      <c r="I8" s="86" t="s">
        <v>173</v>
      </c>
      <c r="J8" s="67" t="s">
        <v>174</v>
      </c>
      <c r="N8" s="99" t="s">
        <v>175</v>
      </c>
    </row>
    <row r="9" ht="12.75" customHeight="1">
      <c r="A9" s="100" t="s">
        <v>12</v>
      </c>
      <c r="B9" s="72" t="s">
        <v>176</v>
      </c>
      <c r="C9" s="35" t="s">
        <v>177</v>
      </c>
      <c r="D9" s="101" t="s">
        <v>178</v>
      </c>
      <c r="E9" s="84">
        <v>4237010.08</v>
      </c>
      <c r="F9" s="84">
        <f t="shared" ref="F9:F11" si="1">E9*19%</f>
        <v>805031.9152</v>
      </c>
      <c r="G9" s="102">
        <f t="shared" ref="G9:G11" si="2">E9+F9</f>
        <v>5042041.995</v>
      </c>
      <c r="H9" s="102">
        <f t="shared" ref="H9:H11" si="3">G9</f>
        <v>5042041.995</v>
      </c>
      <c r="I9" s="84" t="s">
        <v>16</v>
      </c>
      <c r="J9" s="75" t="s">
        <v>179</v>
      </c>
      <c r="K9" s="76"/>
      <c r="L9" s="76"/>
      <c r="M9" s="76"/>
      <c r="N9" s="76"/>
      <c r="O9" s="76"/>
      <c r="P9" s="76"/>
      <c r="Q9" s="76"/>
      <c r="R9" s="76"/>
      <c r="S9" s="76"/>
      <c r="T9" s="76"/>
      <c r="U9" s="76"/>
      <c r="V9" s="76"/>
      <c r="W9" s="76"/>
      <c r="X9" s="76"/>
      <c r="Y9" s="76"/>
      <c r="Z9" s="76"/>
    </row>
    <row r="10" ht="135.75" customHeight="1">
      <c r="A10" s="100" t="s">
        <v>18</v>
      </c>
      <c r="B10" s="72" t="s">
        <v>136</v>
      </c>
      <c r="C10" s="103" t="s">
        <v>180</v>
      </c>
      <c r="D10" s="101" t="s">
        <v>178</v>
      </c>
      <c r="E10" s="95">
        <v>56863.03</v>
      </c>
      <c r="F10" s="84">
        <f t="shared" si="1"/>
        <v>10803.9757</v>
      </c>
      <c r="G10" s="102">
        <f t="shared" si="2"/>
        <v>67667.0057</v>
      </c>
      <c r="H10" s="102">
        <f t="shared" si="3"/>
        <v>67667.0057</v>
      </c>
      <c r="I10" s="84" t="s">
        <v>16</v>
      </c>
      <c r="J10" s="75" t="s">
        <v>179</v>
      </c>
    </row>
    <row r="11" ht="12.75" customHeight="1">
      <c r="A11" s="100" t="s">
        <v>23</v>
      </c>
      <c r="B11" s="72" t="s">
        <v>181</v>
      </c>
      <c r="C11" s="93" t="s">
        <v>182</v>
      </c>
      <c r="D11" s="101" t="s">
        <v>178</v>
      </c>
      <c r="E11" s="84">
        <v>109864.8</v>
      </c>
      <c r="F11" s="84">
        <f t="shared" si="1"/>
        <v>20874.312</v>
      </c>
      <c r="G11" s="102">
        <f t="shared" si="2"/>
        <v>130739.112</v>
      </c>
      <c r="H11" s="102">
        <f t="shared" si="3"/>
        <v>130739.112</v>
      </c>
      <c r="I11" s="84" t="s">
        <v>16</v>
      </c>
      <c r="J11" s="75" t="s">
        <v>179</v>
      </c>
    </row>
    <row r="12" ht="12.75" customHeight="1">
      <c r="A12" s="79"/>
      <c r="B12" s="104"/>
      <c r="C12" s="104"/>
      <c r="D12" s="104"/>
      <c r="E12" s="104"/>
      <c r="F12" s="104"/>
      <c r="G12" s="104"/>
      <c r="H12" s="105"/>
      <c r="I12" s="104"/>
      <c r="J12" s="104"/>
    </row>
    <row r="13" ht="12.75" customHeight="1">
      <c r="A13" s="62"/>
      <c r="B13" s="62"/>
      <c r="C13" s="62"/>
      <c r="D13" s="62"/>
      <c r="E13" s="62"/>
      <c r="F13" s="62"/>
      <c r="G13" s="62"/>
      <c r="H13" s="96"/>
      <c r="I13" s="62"/>
      <c r="J13" s="62"/>
    </row>
    <row r="14" ht="12.75" customHeight="1">
      <c r="A14" s="106" t="s">
        <v>183</v>
      </c>
      <c r="B14" s="5"/>
      <c r="C14" s="5"/>
      <c r="D14" s="5"/>
      <c r="E14" s="5"/>
      <c r="F14" s="5"/>
      <c r="G14" s="5"/>
      <c r="H14" s="5"/>
      <c r="I14" s="5"/>
      <c r="J14" s="5"/>
    </row>
    <row r="15" ht="12.75" customHeight="1">
      <c r="A15" s="62"/>
      <c r="B15" s="62"/>
      <c r="C15" s="62"/>
      <c r="D15" s="62"/>
      <c r="E15" s="62"/>
      <c r="F15" s="62"/>
      <c r="G15" s="62"/>
      <c r="H15" s="96"/>
      <c r="I15" s="62"/>
      <c r="J15" s="62"/>
    </row>
    <row r="16" ht="12.75" customHeight="1">
      <c r="A16" s="106" t="s">
        <v>184</v>
      </c>
      <c r="B16" s="5"/>
      <c r="C16" s="5"/>
      <c r="D16" s="5"/>
      <c r="E16" s="5"/>
      <c r="F16" s="5"/>
      <c r="G16" s="5"/>
      <c r="H16" s="5"/>
      <c r="I16" s="5"/>
      <c r="J16" s="5"/>
    </row>
    <row r="17" ht="12.75" customHeight="1">
      <c r="H17" s="96"/>
    </row>
    <row r="18" ht="12.75" customHeight="1">
      <c r="H18" s="96"/>
    </row>
    <row r="19" ht="12.75" customHeight="1">
      <c r="H19" s="96"/>
    </row>
    <row r="20" ht="12.75" customHeight="1">
      <c r="H20" s="96"/>
    </row>
    <row r="21" ht="12.75" customHeight="1">
      <c r="H21" s="96"/>
    </row>
    <row r="22" ht="12.75" customHeight="1">
      <c r="H22" s="96"/>
    </row>
    <row r="23" ht="12.75" customHeight="1">
      <c r="H23" s="96"/>
    </row>
    <row r="24" ht="12.75" customHeight="1">
      <c r="H24" s="96"/>
    </row>
    <row r="25" ht="12.75" customHeight="1">
      <c r="H25" s="96"/>
    </row>
    <row r="26" ht="12.75" customHeight="1">
      <c r="H26" s="96"/>
    </row>
    <row r="27" ht="12.75" customHeight="1">
      <c r="H27" s="96"/>
    </row>
    <row r="28" ht="12.75" customHeight="1">
      <c r="H28" s="96"/>
    </row>
    <row r="29" ht="12.75" customHeight="1">
      <c r="H29" s="96"/>
    </row>
    <row r="30" ht="12.75" customHeight="1">
      <c r="H30" s="96"/>
    </row>
    <row r="31" ht="12.75" customHeight="1">
      <c r="H31" s="96"/>
    </row>
    <row r="32" ht="12.75" customHeight="1">
      <c r="H32" s="96"/>
    </row>
    <row r="33" ht="12.75" customHeight="1">
      <c r="H33" s="96"/>
    </row>
    <row r="34" ht="12.75" customHeight="1">
      <c r="H34" s="96"/>
    </row>
    <row r="35" ht="12.75" customHeight="1">
      <c r="H35" s="96"/>
    </row>
    <row r="36" ht="12.75" customHeight="1">
      <c r="H36" s="96"/>
    </row>
    <row r="37" ht="12.75" customHeight="1">
      <c r="H37" s="96"/>
    </row>
    <row r="38" ht="12.75" customHeight="1">
      <c r="H38" s="96"/>
    </row>
    <row r="39" ht="12.75" customHeight="1">
      <c r="H39" s="96"/>
    </row>
    <row r="40" ht="12.75" customHeight="1">
      <c r="H40" s="96"/>
    </row>
    <row r="41" ht="12.75" customHeight="1">
      <c r="H41" s="96"/>
    </row>
    <row r="42" ht="12.75" customHeight="1">
      <c r="H42" s="96"/>
    </row>
    <row r="43" ht="12.75" customHeight="1">
      <c r="H43" s="96"/>
    </row>
    <row r="44" ht="12.75" customHeight="1">
      <c r="H44" s="96"/>
    </row>
    <row r="45" ht="12.75" customHeight="1">
      <c r="H45" s="96"/>
    </row>
    <row r="46" ht="12.75" customHeight="1">
      <c r="H46" s="96"/>
    </row>
    <row r="47" ht="12.75" customHeight="1">
      <c r="H47" s="96"/>
    </row>
    <row r="48" ht="12.75" customHeight="1">
      <c r="H48" s="96"/>
    </row>
    <row r="49" ht="12.75" customHeight="1">
      <c r="H49" s="96"/>
    </row>
    <row r="50" ht="12.75" customHeight="1">
      <c r="H50" s="96"/>
    </row>
    <row r="51" ht="12.75" customHeight="1">
      <c r="H51" s="96"/>
    </row>
    <row r="52" ht="12.75" customHeight="1">
      <c r="H52" s="96"/>
    </row>
    <row r="53" ht="12.75" customHeight="1">
      <c r="H53" s="96"/>
    </row>
    <row r="54" ht="12.75" customHeight="1">
      <c r="H54" s="96"/>
    </row>
    <row r="55" ht="12.75" customHeight="1">
      <c r="H55" s="96"/>
    </row>
    <row r="56" ht="12.75" customHeight="1">
      <c r="H56" s="96"/>
    </row>
    <row r="57" ht="12.75" customHeight="1">
      <c r="H57" s="96"/>
    </row>
    <row r="58" ht="12.75" customHeight="1">
      <c r="H58" s="96"/>
    </row>
    <row r="59" ht="12.75" customHeight="1">
      <c r="H59" s="96"/>
    </row>
    <row r="60" ht="12.75" customHeight="1">
      <c r="H60" s="96"/>
    </row>
    <row r="61" ht="12.75" customHeight="1">
      <c r="H61" s="96"/>
    </row>
    <row r="62" ht="12.75" customHeight="1">
      <c r="H62" s="96"/>
    </row>
    <row r="63" ht="12.75" customHeight="1">
      <c r="H63" s="96"/>
    </row>
    <row r="64" ht="12.75" customHeight="1">
      <c r="H64" s="96"/>
    </row>
    <row r="65" ht="12.75" customHeight="1">
      <c r="H65" s="96"/>
    </row>
    <row r="66" ht="12.75" customHeight="1">
      <c r="H66" s="96"/>
    </row>
    <row r="67" ht="12.75" customHeight="1">
      <c r="H67" s="96"/>
    </row>
    <row r="68" ht="12.75" customHeight="1">
      <c r="H68" s="96"/>
    </row>
    <row r="69" ht="12.75" customHeight="1">
      <c r="H69" s="96"/>
    </row>
    <row r="70" ht="12.75" customHeight="1">
      <c r="H70" s="96"/>
    </row>
    <row r="71" ht="12.75" customHeight="1">
      <c r="H71" s="96"/>
    </row>
    <row r="72" ht="12.75" customHeight="1">
      <c r="H72" s="96"/>
    </row>
    <row r="73" ht="12.75" customHeight="1">
      <c r="H73" s="96"/>
    </row>
    <row r="74" ht="12.75" customHeight="1">
      <c r="H74" s="96"/>
    </row>
    <row r="75" ht="12.75" customHeight="1">
      <c r="H75" s="96"/>
    </row>
    <row r="76" ht="12.75" customHeight="1">
      <c r="H76" s="96"/>
    </row>
    <row r="77" ht="12.75" customHeight="1">
      <c r="H77" s="96"/>
    </row>
    <row r="78" ht="12.75" customHeight="1">
      <c r="H78" s="96"/>
    </row>
    <row r="79" ht="12.75" customHeight="1">
      <c r="H79" s="96"/>
    </row>
    <row r="80" ht="12.75" customHeight="1">
      <c r="H80" s="96"/>
    </row>
    <row r="81" ht="12.75" customHeight="1">
      <c r="H81" s="96"/>
    </row>
    <row r="82" ht="12.75" customHeight="1">
      <c r="H82" s="96"/>
    </row>
    <row r="83" ht="12.75" customHeight="1">
      <c r="H83" s="96"/>
    </row>
    <row r="84" ht="12.75" customHeight="1">
      <c r="H84" s="96"/>
    </row>
    <row r="85" ht="12.75" customHeight="1">
      <c r="H85" s="96"/>
    </row>
    <row r="86" ht="12.75" customHeight="1">
      <c r="H86" s="96"/>
    </row>
    <row r="87" ht="12.75" customHeight="1">
      <c r="H87" s="96"/>
    </row>
    <row r="88" ht="12.75" customHeight="1">
      <c r="H88" s="96"/>
    </row>
    <row r="89" ht="12.75" customHeight="1">
      <c r="H89" s="96"/>
    </row>
    <row r="90" ht="12.75" customHeight="1">
      <c r="H90" s="96"/>
    </row>
    <row r="91" ht="12.75" customHeight="1">
      <c r="H91" s="96"/>
    </row>
    <row r="92" ht="12.75" customHeight="1">
      <c r="H92" s="96"/>
    </row>
    <row r="93" ht="12.75" customHeight="1">
      <c r="H93" s="96"/>
    </row>
    <row r="94" ht="12.75" customHeight="1">
      <c r="H94" s="96"/>
    </row>
    <row r="95" ht="12.75" customHeight="1">
      <c r="H95" s="96"/>
    </row>
    <row r="96" ht="12.75" customHeight="1">
      <c r="H96" s="96"/>
    </row>
    <row r="97" ht="12.75" customHeight="1">
      <c r="H97" s="96"/>
    </row>
    <row r="98" ht="12.75" customHeight="1">
      <c r="H98" s="96"/>
    </row>
    <row r="99" ht="12.75" customHeight="1">
      <c r="H99" s="96"/>
    </row>
    <row r="100" ht="12.75" customHeight="1">
      <c r="H100" s="96"/>
    </row>
    <row r="101" ht="12.75" customHeight="1">
      <c r="H101" s="96"/>
    </row>
    <row r="102" ht="12.75" customHeight="1">
      <c r="H102" s="96"/>
    </row>
    <row r="103" ht="12.75" customHeight="1">
      <c r="H103" s="96"/>
    </row>
    <row r="104" ht="12.75" customHeight="1">
      <c r="H104" s="96"/>
    </row>
    <row r="105" ht="12.75" customHeight="1">
      <c r="H105" s="96"/>
    </row>
    <row r="106" ht="12.75" customHeight="1">
      <c r="H106" s="96"/>
    </row>
    <row r="107" ht="12.75" customHeight="1">
      <c r="H107" s="96"/>
    </row>
    <row r="108" ht="12.75" customHeight="1">
      <c r="H108" s="96"/>
    </row>
    <row r="109" ht="12.75" customHeight="1">
      <c r="H109" s="96"/>
    </row>
    <row r="110" ht="12.75" customHeight="1">
      <c r="H110" s="96"/>
    </row>
    <row r="111" ht="12.75" customHeight="1">
      <c r="H111" s="96"/>
    </row>
    <row r="112" ht="12.75" customHeight="1">
      <c r="H112" s="96"/>
    </row>
    <row r="113" ht="12.75" customHeight="1">
      <c r="H113" s="96"/>
    </row>
    <row r="114" ht="12.75" customHeight="1">
      <c r="H114" s="96"/>
    </row>
    <row r="115" ht="12.75" customHeight="1">
      <c r="H115" s="96"/>
    </row>
    <row r="116" ht="12.75" customHeight="1">
      <c r="H116" s="96"/>
    </row>
    <row r="117" ht="12.75" customHeight="1">
      <c r="H117" s="96"/>
    </row>
    <row r="118" ht="12.75" customHeight="1">
      <c r="H118" s="96"/>
    </row>
    <row r="119" ht="12.75" customHeight="1">
      <c r="H119" s="96"/>
    </row>
    <row r="120" ht="12.75" customHeight="1">
      <c r="H120" s="96"/>
    </row>
    <row r="121" ht="12.75" customHeight="1">
      <c r="H121" s="96"/>
    </row>
    <row r="122" ht="12.75" customHeight="1">
      <c r="H122" s="96"/>
    </row>
    <row r="123" ht="12.75" customHeight="1">
      <c r="H123" s="96"/>
    </row>
    <row r="124" ht="12.75" customHeight="1">
      <c r="H124" s="96"/>
    </row>
    <row r="125" ht="12.75" customHeight="1">
      <c r="H125" s="96"/>
    </row>
    <row r="126" ht="12.75" customHeight="1">
      <c r="H126" s="96"/>
    </row>
    <row r="127" ht="12.75" customHeight="1">
      <c r="H127" s="96"/>
    </row>
    <row r="128" ht="12.75" customHeight="1">
      <c r="H128" s="96"/>
    </row>
    <row r="129" ht="12.75" customHeight="1">
      <c r="H129" s="96"/>
    </row>
    <row r="130" ht="12.75" customHeight="1">
      <c r="H130" s="96"/>
    </row>
    <row r="131" ht="12.75" customHeight="1">
      <c r="H131" s="96"/>
    </row>
    <row r="132" ht="12.75" customHeight="1">
      <c r="H132" s="96"/>
    </row>
    <row r="133" ht="12.75" customHeight="1">
      <c r="H133" s="96"/>
    </row>
    <row r="134" ht="12.75" customHeight="1">
      <c r="H134" s="96"/>
    </row>
    <row r="135" ht="12.75" customHeight="1">
      <c r="H135" s="96"/>
    </row>
    <row r="136" ht="12.75" customHeight="1">
      <c r="H136" s="96"/>
    </row>
    <row r="137" ht="12.75" customHeight="1">
      <c r="H137" s="96"/>
    </row>
    <row r="138" ht="12.75" customHeight="1">
      <c r="H138" s="96"/>
    </row>
    <row r="139" ht="12.75" customHeight="1">
      <c r="H139" s="96"/>
    </row>
    <row r="140" ht="12.75" customHeight="1">
      <c r="H140" s="96"/>
    </row>
    <row r="141" ht="12.75" customHeight="1">
      <c r="H141" s="96"/>
    </row>
    <row r="142" ht="12.75" customHeight="1">
      <c r="H142" s="96"/>
    </row>
    <row r="143" ht="12.75" customHeight="1">
      <c r="H143" s="96"/>
    </row>
    <row r="144" ht="12.75" customHeight="1">
      <c r="H144" s="96"/>
    </row>
    <row r="145" ht="12.75" customHeight="1">
      <c r="H145" s="96"/>
    </row>
    <row r="146" ht="12.75" customHeight="1">
      <c r="H146" s="96"/>
    </row>
    <row r="147" ht="12.75" customHeight="1">
      <c r="H147" s="96"/>
    </row>
    <row r="148" ht="12.75" customHeight="1">
      <c r="H148" s="96"/>
    </row>
    <row r="149" ht="12.75" customHeight="1">
      <c r="H149" s="96"/>
    </row>
    <row r="150" ht="12.75" customHeight="1">
      <c r="H150" s="96"/>
    </row>
    <row r="151" ht="12.75" customHeight="1">
      <c r="H151" s="96"/>
    </row>
    <row r="152" ht="12.75" customHeight="1">
      <c r="H152" s="96"/>
    </row>
    <row r="153" ht="12.75" customHeight="1">
      <c r="H153" s="96"/>
    </row>
    <row r="154" ht="12.75" customHeight="1">
      <c r="H154" s="96"/>
    </row>
    <row r="155" ht="12.75" customHeight="1">
      <c r="H155" s="96"/>
    </row>
    <row r="156" ht="12.75" customHeight="1">
      <c r="H156" s="96"/>
    </row>
    <row r="157" ht="12.75" customHeight="1">
      <c r="H157" s="96"/>
    </row>
    <row r="158" ht="12.75" customHeight="1">
      <c r="H158" s="96"/>
    </row>
    <row r="159" ht="12.75" customHeight="1">
      <c r="H159" s="96"/>
    </row>
    <row r="160" ht="12.75" customHeight="1">
      <c r="H160" s="96"/>
    </row>
    <row r="161" ht="12.75" customHeight="1">
      <c r="H161" s="96"/>
    </row>
    <row r="162" ht="12.75" customHeight="1">
      <c r="H162" s="96"/>
    </row>
    <row r="163" ht="12.75" customHeight="1">
      <c r="H163" s="96"/>
    </row>
    <row r="164" ht="12.75" customHeight="1">
      <c r="H164" s="96"/>
    </row>
    <row r="165" ht="12.75" customHeight="1">
      <c r="H165" s="96"/>
    </row>
    <row r="166" ht="12.75" customHeight="1">
      <c r="H166" s="96"/>
    </row>
    <row r="167" ht="12.75" customHeight="1">
      <c r="H167" s="96"/>
    </row>
    <row r="168" ht="12.75" customHeight="1">
      <c r="H168" s="96"/>
    </row>
    <row r="169" ht="12.75" customHeight="1">
      <c r="H169" s="96"/>
    </row>
    <row r="170" ht="12.75" customHeight="1">
      <c r="H170" s="96"/>
    </row>
    <row r="171" ht="12.75" customHeight="1">
      <c r="H171" s="96"/>
    </row>
    <row r="172" ht="12.75" customHeight="1">
      <c r="H172" s="96"/>
    </row>
    <row r="173" ht="12.75" customHeight="1">
      <c r="H173" s="96"/>
    </row>
    <row r="174" ht="12.75" customHeight="1">
      <c r="H174" s="96"/>
    </row>
    <row r="175" ht="12.75" customHeight="1">
      <c r="H175" s="96"/>
    </row>
    <row r="176" ht="12.75" customHeight="1">
      <c r="H176" s="96"/>
    </row>
    <row r="177" ht="12.75" customHeight="1">
      <c r="H177" s="96"/>
    </row>
    <row r="178" ht="12.75" customHeight="1">
      <c r="H178" s="96"/>
    </row>
    <row r="179" ht="12.75" customHeight="1">
      <c r="H179" s="96"/>
    </row>
    <row r="180" ht="12.75" customHeight="1">
      <c r="H180" s="96"/>
    </row>
    <row r="181" ht="12.75" customHeight="1">
      <c r="H181" s="96"/>
    </row>
    <row r="182" ht="12.75" customHeight="1">
      <c r="H182" s="96"/>
    </row>
    <row r="183" ht="12.75" customHeight="1">
      <c r="H183" s="96"/>
    </row>
    <row r="184" ht="12.75" customHeight="1">
      <c r="H184" s="96"/>
    </row>
    <row r="185" ht="12.75" customHeight="1">
      <c r="H185" s="96"/>
    </row>
    <row r="186" ht="12.75" customHeight="1">
      <c r="H186" s="96"/>
    </row>
    <row r="187" ht="12.75" customHeight="1">
      <c r="H187" s="96"/>
    </row>
    <row r="188" ht="12.75" customHeight="1">
      <c r="H188" s="96"/>
    </row>
    <row r="189" ht="12.75" customHeight="1">
      <c r="H189" s="96"/>
    </row>
    <row r="190" ht="12.75" customHeight="1">
      <c r="H190" s="96"/>
    </row>
    <row r="191" ht="12.75" customHeight="1">
      <c r="H191" s="96"/>
    </row>
    <row r="192" ht="12.75" customHeight="1">
      <c r="H192" s="96"/>
    </row>
    <row r="193" ht="12.75" customHeight="1">
      <c r="H193" s="96"/>
    </row>
    <row r="194" ht="12.75" customHeight="1">
      <c r="H194" s="96"/>
    </row>
    <row r="195" ht="12.75" customHeight="1">
      <c r="H195" s="96"/>
    </row>
    <row r="196" ht="12.75" customHeight="1">
      <c r="H196" s="96"/>
    </row>
    <row r="197" ht="12.75" customHeight="1">
      <c r="H197" s="96"/>
    </row>
    <row r="198" ht="12.75" customHeight="1">
      <c r="H198" s="96"/>
    </row>
    <row r="199" ht="12.75" customHeight="1">
      <c r="H199" s="96"/>
    </row>
    <row r="200" ht="12.75" customHeight="1">
      <c r="H200" s="96"/>
    </row>
    <row r="201" ht="12.75" customHeight="1">
      <c r="H201" s="96"/>
    </row>
    <row r="202" ht="12.75" customHeight="1">
      <c r="H202" s="96"/>
    </row>
    <row r="203" ht="12.75" customHeight="1">
      <c r="H203" s="96"/>
    </row>
    <row r="204" ht="12.75" customHeight="1">
      <c r="H204" s="96"/>
    </row>
    <row r="205" ht="12.75" customHeight="1">
      <c r="H205" s="96"/>
    </row>
    <row r="206" ht="12.75" customHeight="1">
      <c r="H206" s="96"/>
    </row>
    <row r="207" ht="12.75" customHeight="1">
      <c r="H207" s="96"/>
    </row>
    <row r="208" ht="12.75" customHeight="1">
      <c r="H208" s="96"/>
    </row>
    <row r="209" ht="12.75" customHeight="1">
      <c r="H209" s="96"/>
    </row>
    <row r="210" ht="12.75" customHeight="1">
      <c r="H210" s="96"/>
    </row>
    <row r="211" ht="12.75" customHeight="1">
      <c r="H211" s="96"/>
    </row>
    <row r="212" ht="12.75" customHeight="1">
      <c r="H212" s="96"/>
    </row>
    <row r="213" ht="12.75" customHeight="1">
      <c r="H213" s="96"/>
    </row>
    <row r="214" ht="12.75" customHeight="1">
      <c r="H214" s="96"/>
    </row>
    <row r="215" ht="12.75" customHeight="1">
      <c r="H215" s="96"/>
    </row>
    <row r="216" ht="12.75" customHeight="1">
      <c r="H216" s="96"/>
    </row>
    <row r="217" ht="12.75" customHeight="1">
      <c r="H217" s="96"/>
    </row>
    <row r="218" ht="12.75" customHeight="1">
      <c r="H218" s="96"/>
    </row>
    <row r="219" ht="12.75" customHeight="1">
      <c r="H219" s="96"/>
    </row>
    <row r="220" ht="12.75" customHeight="1">
      <c r="H220" s="9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3:H3"/>
    <mergeCell ref="A6:J6"/>
    <mergeCell ref="A14:J14"/>
    <mergeCell ref="A16:J16"/>
  </mergeCells>
  <hyperlinks>
    <hyperlink r:id="rId1" ref="C9"/>
    <hyperlink r:id="rId2" ref="C10"/>
    <hyperlink r:id="rId3" ref="C11"/>
  </hyperlinks>
  <printOptions/>
  <pageMargins bottom="0.75" footer="0.0" header="0.0" left="0.7" right="0.7" top="0.75"/>
  <pageSetup paperSize="9" orientation="portrait"/>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8.63"/>
    <col customWidth="1" min="3" max="3" width="18.0"/>
    <col customWidth="1" min="4" max="4" width="20.88"/>
    <col customWidth="1" min="5" max="5" width="17.13"/>
    <col customWidth="1" min="6" max="6" width="16.0"/>
    <col customWidth="1" min="7" max="7" width="13.63"/>
    <col customWidth="1" min="8" max="8" width="20.88"/>
    <col customWidth="1" min="9" max="9" width="10.63"/>
    <col customWidth="1" min="10" max="10" width="29.25"/>
    <col customWidth="1" min="11" max="26" width="10.63"/>
  </cols>
  <sheetData>
    <row r="1" ht="12.75" customHeight="1">
      <c r="A1" s="62"/>
      <c r="B1" s="62"/>
      <c r="C1" s="62"/>
      <c r="D1" s="62"/>
      <c r="E1" s="62"/>
      <c r="F1" s="62"/>
      <c r="G1" s="62"/>
      <c r="H1" s="62"/>
      <c r="I1" s="62"/>
      <c r="J1" s="62"/>
    </row>
    <row r="2" ht="12.75" customHeight="1">
      <c r="A2" s="62"/>
      <c r="B2" s="62"/>
      <c r="C2" s="62"/>
      <c r="D2" s="63" t="s">
        <v>0</v>
      </c>
      <c r="I2" s="62"/>
      <c r="J2" s="62"/>
    </row>
    <row r="3" ht="12.75" customHeight="1">
      <c r="A3" s="62"/>
      <c r="B3" s="62"/>
      <c r="C3" s="62"/>
      <c r="D3" s="62"/>
      <c r="E3" s="62"/>
      <c r="F3" s="62"/>
      <c r="G3" s="62"/>
      <c r="H3" s="62"/>
      <c r="I3" s="62"/>
      <c r="J3" s="62"/>
    </row>
    <row r="4" ht="12.75" customHeight="1">
      <c r="A4" s="62"/>
      <c r="B4" s="62"/>
      <c r="C4" s="62"/>
      <c r="D4" s="62"/>
      <c r="E4" s="62"/>
      <c r="F4" s="62"/>
      <c r="G4" s="62"/>
      <c r="H4" s="62"/>
      <c r="I4" s="62"/>
      <c r="J4" s="62"/>
    </row>
    <row r="5" ht="12.75" customHeight="1">
      <c r="A5" s="64" t="s">
        <v>126</v>
      </c>
      <c r="B5" s="5"/>
      <c r="C5" s="5"/>
      <c r="D5" s="5"/>
      <c r="E5" s="5"/>
      <c r="F5" s="5"/>
      <c r="G5" s="5"/>
      <c r="H5" s="5"/>
      <c r="I5" s="5"/>
      <c r="J5" s="65"/>
    </row>
    <row r="6" ht="12.75" customHeight="1">
      <c r="A6" s="62"/>
      <c r="B6" s="62"/>
      <c r="C6" s="62"/>
      <c r="D6" s="62"/>
      <c r="E6" s="62"/>
      <c r="F6" s="62"/>
      <c r="G6" s="62"/>
      <c r="H6" s="62"/>
      <c r="I6" s="62"/>
      <c r="J6" s="62"/>
    </row>
    <row r="7" ht="194.25" customHeight="1">
      <c r="A7" s="66" t="s">
        <v>127</v>
      </c>
      <c r="B7" s="67" t="s">
        <v>128</v>
      </c>
      <c r="C7" s="67" t="s">
        <v>129</v>
      </c>
      <c r="D7" s="67" t="s">
        <v>130</v>
      </c>
      <c r="E7" s="67" t="s">
        <v>131</v>
      </c>
      <c r="F7" s="68" t="s">
        <v>132</v>
      </c>
      <c r="G7" s="69" t="s">
        <v>133</v>
      </c>
      <c r="H7" s="82" t="s">
        <v>9</v>
      </c>
      <c r="I7" s="67" t="s">
        <v>134</v>
      </c>
      <c r="J7" s="67" t="s">
        <v>135</v>
      </c>
    </row>
    <row r="8" ht="255.75" customHeight="1">
      <c r="A8" s="66" t="s">
        <v>12</v>
      </c>
      <c r="B8" s="72" t="s">
        <v>185</v>
      </c>
      <c r="C8" s="75" t="s">
        <v>186</v>
      </c>
      <c r="D8" s="75" t="s">
        <v>187</v>
      </c>
      <c r="E8" s="74">
        <v>7596289.0</v>
      </c>
      <c r="F8" s="74">
        <f t="shared" ref="F8:F10" si="1">E8*19%</f>
        <v>1443294.91</v>
      </c>
      <c r="G8" s="74">
        <f t="shared" ref="G8:G10" si="2">E8+F8</f>
        <v>9039583.91</v>
      </c>
      <c r="H8" s="74">
        <f t="shared" ref="H8:H10" si="3">G8</f>
        <v>9039583.91</v>
      </c>
      <c r="I8" s="75" t="s">
        <v>16</v>
      </c>
      <c r="J8" s="75" t="s">
        <v>188</v>
      </c>
    </row>
    <row r="9" ht="256.5" customHeight="1">
      <c r="A9" s="66" t="s">
        <v>140</v>
      </c>
      <c r="B9" s="72" t="s">
        <v>189</v>
      </c>
      <c r="C9" s="107" t="s">
        <v>190</v>
      </c>
      <c r="D9" s="75" t="s">
        <v>191</v>
      </c>
      <c r="E9" s="84">
        <v>6590000.0</v>
      </c>
      <c r="F9" s="74">
        <f t="shared" si="1"/>
        <v>1252100</v>
      </c>
      <c r="G9" s="74">
        <f t="shared" si="2"/>
        <v>7842100</v>
      </c>
      <c r="H9" s="74">
        <f t="shared" si="3"/>
        <v>7842100</v>
      </c>
      <c r="I9" s="72" t="s">
        <v>154</v>
      </c>
      <c r="J9" s="75" t="s">
        <v>192</v>
      </c>
    </row>
    <row r="10" ht="239.25" customHeight="1">
      <c r="A10" s="66" t="s">
        <v>23</v>
      </c>
      <c r="B10" s="72" t="s">
        <v>193</v>
      </c>
      <c r="C10" s="108" t="s">
        <v>194</v>
      </c>
      <c r="D10" s="75" t="s">
        <v>195</v>
      </c>
      <c r="E10" s="84">
        <v>7590000.0</v>
      </c>
      <c r="F10" s="74">
        <f t="shared" si="1"/>
        <v>1442100</v>
      </c>
      <c r="G10" s="74">
        <f t="shared" si="2"/>
        <v>9032100</v>
      </c>
      <c r="H10" s="74">
        <f t="shared" si="3"/>
        <v>9032100</v>
      </c>
      <c r="I10" s="72" t="s">
        <v>154</v>
      </c>
      <c r="J10" s="75" t="s">
        <v>196</v>
      </c>
    </row>
    <row r="11" ht="12.75" customHeight="1">
      <c r="A11" s="79"/>
      <c r="B11" s="80"/>
      <c r="C11" s="80"/>
      <c r="D11" s="80"/>
      <c r="E11" s="80"/>
      <c r="F11" s="80"/>
      <c r="G11" s="80"/>
      <c r="H11" s="80"/>
      <c r="I11" s="80"/>
      <c r="J11" s="80"/>
    </row>
    <row r="12" ht="12.75" customHeight="1">
      <c r="A12" s="62"/>
      <c r="B12" s="62"/>
      <c r="C12" s="62"/>
      <c r="D12" s="62"/>
      <c r="E12" s="62"/>
      <c r="F12" s="62"/>
      <c r="G12" s="62"/>
      <c r="H12" s="62"/>
      <c r="I12" s="62"/>
      <c r="J12" s="62"/>
    </row>
    <row r="13" ht="12.75" customHeight="1">
      <c r="A13" s="81" t="s">
        <v>146</v>
      </c>
      <c r="B13" s="5"/>
      <c r="C13" s="5"/>
      <c r="D13" s="5"/>
      <c r="E13" s="5"/>
      <c r="F13" s="5"/>
      <c r="G13" s="5"/>
      <c r="H13" s="5"/>
      <c r="I13" s="5"/>
      <c r="J13" s="5"/>
    </row>
    <row r="14" ht="12.75" customHeight="1">
      <c r="A14" s="62"/>
      <c r="B14" s="62"/>
      <c r="C14" s="62"/>
      <c r="D14" s="62"/>
      <c r="E14" s="62"/>
      <c r="F14" s="62"/>
      <c r="G14" s="62"/>
      <c r="H14" s="62"/>
      <c r="I14" s="62"/>
      <c r="J14" s="62"/>
    </row>
    <row r="15" ht="12.75" customHeight="1">
      <c r="A15" s="81" t="s">
        <v>147</v>
      </c>
      <c r="B15" s="5"/>
      <c r="C15" s="5"/>
      <c r="D15" s="5"/>
      <c r="E15" s="5"/>
      <c r="F15" s="5"/>
      <c r="G15" s="5"/>
      <c r="H15" s="5"/>
      <c r="I15" s="5"/>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9"/>
  </hyperlinks>
  <printOptions/>
  <pageMargins bottom="0.75" footer="0.0" header="0.0" left="0.7" right="0.7" top="0.75"/>
  <pageSetup paperSize="9"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20.38"/>
    <col customWidth="1" min="3" max="3" width="16.75"/>
    <col customWidth="1" min="4" max="4" width="17.25"/>
    <col customWidth="1" min="5" max="5" width="18.13"/>
    <col customWidth="1" min="6" max="6" width="16.88"/>
    <col customWidth="1" min="7" max="7" width="16.0"/>
    <col customWidth="1" min="8" max="8" width="18.75"/>
    <col customWidth="1" min="9" max="9" width="25.13"/>
    <col customWidth="1" min="10" max="10" width="25.63"/>
    <col customWidth="1" min="11" max="26" width="10.63"/>
  </cols>
  <sheetData>
    <row r="1" ht="12.75" customHeight="1">
      <c r="A1" s="62"/>
      <c r="B1" s="62"/>
      <c r="C1" s="62"/>
      <c r="D1" s="62"/>
      <c r="E1" s="62"/>
      <c r="F1" s="62"/>
      <c r="G1" s="62"/>
      <c r="H1" s="62"/>
      <c r="I1" s="62"/>
      <c r="J1" s="62"/>
    </row>
    <row r="2" ht="12.75" customHeight="1">
      <c r="A2" s="62"/>
      <c r="B2" s="62"/>
      <c r="C2" s="62"/>
      <c r="D2" s="63" t="s">
        <v>0</v>
      </c>
      <c r="I2" s="62"/>
      <c r="J2" s="62"/>
    </row>
    <row r="3" ht="12.75" customHeight="1">
      <c r="A3" s="62"/>
      <c r="B3" s="62"/>
      <c r="C3" s="62"/>
      <c r="D3" s="62"/>
      <c r="E3" s="62"/>
      <c r="F3" s="62"/>
      <c r="G3" s="62"/>
      <c r="H3" s="62"/>
      <c r="I3" s="62"/>
      <c r="J3" s="62"/>
    </row>
    <row r="4" ht="12.75" customHeight="1">
      <c r="A4" s="62"/>
      <c r="B4" s="62"/>
      <c r="C4" s="62"/>
      <c r="D4" s="62"/>
      <c r="E4" s="62"/>
      <c r="F4" s="62"/>
      <c r="G4" s="62"/>
      <c r="H4" s="62"/>
      <c r="I4" s="62"/>
      <c r="J4" s="62"/>
    </row>
    <row r="5" ht="12.75" customHeight="1">
      <c r="A5" s="64" t="s">
        <v>126</v>
      </c>
      <c r="B5" s="5"/>
      <c r="C5" s="5"/>
      <c r="D5" s="5"/>
      <c r="E5" s="5"/>
      <c r="F5" s="5"/>
      <c r="G5" s="5"/>
      <c r="H5" s="5"/>
      <c r="I5" s="5"/>
      <c r="J5" s="65"/>
    </row>
    <row r="6" ht="12.75" customHeight="1">
      <c r="A6" s="62"/>
      <c r="B6" s="62"/>
      <c r="C6" s="62"/>
      <c r="D6" s="62"/>
      <c r="E6" s="62"/>
      <c r="F6" s="62"/>
      <c r="G6" s="62"/>
      <c r="H6" s="62"/>
      <c r="I6" s="62"/>
      <c r="J6" s="62"/>
    </row>
    <row r="7" ht="94.5" customHeight="1">
      <c r="A7" s="66" t="s">
        <v>127</v>
      </c>
      <c r="B7" s="67" t="s">
        <v>128</v>
      </c>
      <c r="C7" s="67" t="s">
        <v>129</v>
      </c>
      <c r="D7" s="67" t="s">
        <v>130</v>
      </c>
      <c r="E7" s="67" t="s">
        <v>131</v>
      </c>
      <c r="F7" s="68" t="s">
        <v>132</v>
      </c>
      <c r="G7" s="69" t="s">
        <v>133</v>
      </c>
      <c r="H7" s="82" t="s">
        <v>9</v>
      </c>
      <c r="I7" s="67" t="s">
        <v>134</v>
      </c>
      <c r="J7" s="67" t="s">
        <v>135</v>
      </c>
    </row>
    <row r="8" ht="270.75" customHeight="1">
      <c r="A8" s="66" t="s">
        <v>12</v>
      </c>
      <c r="B8" s="72" t="s">
        <v>197</v>
      </c>
      <c r="C8" s="75" t="s">
        <v>198</v>
      </c>
      <c r="D8" s="75" t="s">
        <v>199</v>
      </c>
      <c r="E8" s="74">
        <v>0.0</v>
      </c>
      <c r="F8" s="74">
        <f t="shared" ref="F8:F10" si="1">E8*19%</f>
        <v>0</v>
      </c>
      <c r="G8" s="74">
        <f t="shared" ref="G8:G10" si="2">E8+F8</f>
        <v>0</v>
      </c>
      <c r="H8" s="74">
        <f t="shared" ref="H8:H10" si="3">G8</f>
        <v>0</v>
      </c>
      <c r="I8" s="75" t="s">
        <v>16</v>
      </c>
      <c r="J8" s="75" t="s">
        <v>200</v>
      </c>
    </row>
    <row r="9" ht="300.75" customHeight="1">
      <c r="A9" s="66" t="s">
        <v>140</v>
      </c>
      <c r="B9" s="72" t="s">
        <v>191</v>
      </c>
      <c r="C9" s="75" t="s">
        <v>201</v>
      </c>
      <c r="D9" s="75" t="s">
        <v>202</v>
      </c>
      <c r="E9" s="84">
        <v>165900.0</v>
      </c>
      <c r="F9" s="74">
        <f t="shared" si="1"/>
        <v>31521</v>
      </c>
      <c r="G9" s="74">
        <f t="shared" si="2"/>
        <v>197421</v>
      </c>
      <c r="H9" s="74">
        <f t="shared" si="3"/>
        <v>197421</v>
      </c>
      <c r="I9" s="72" t="s">
        <v>154</v>
      </c>
      <c r="J9" s="75" t="s">
        <v>203</v>
      </c>
    </row>
    <row r="10" ht="245.25" customHeight="1">
      <c r="A10" s="66" t="s">
        <v>23</v>
      </c>
      <c r="B10" s="72" t="s">
        <v>204</v>
      </c>
      <c r="C10" s="108" t="s">
        <v>205</v>
      </c>
      <c r="D10" s="75" t="s">
        <v>206</v>
      </c>
      <c r="E10" s="84">
        <v>3743962.0</v>
      </c>
      <c r="F10" s="74">
        <f t="shared" si="1"/>
        <v>711352.78</v>
      </c>
      <c r="G10" s="74">
        <f t="shared" si="2"/>
        <v>4455314.78</v>
      </c>
      <c r="H10" s="74">
        <f t="shared" si="3"/>
        <v>4455314.78</v>
      </c>
      <c r="I10" s="72" t="s">
        <v>154</v>
      </c>
      <c r="J10" s="75" t="s">
        <v>207</v>
      </c>
    </row>
    <row r="11" ht="12.75" customHeight="1">
      <c r="A11" s="79"/>
      <c r="B11" s="80"/>
      <c r="C11" s="80"/>
      <c r="D11" s="80"/>
      <c r="E11" s="80"/>
      <c r="F11" s="80"/>
      <c r="G11" s="80"/>
      <c r="H11" s="80"/>
      <c r="I11" s="80"/>
      <c r="J11" s="80"/>
    </row>
    <row r="12" ht="12.75" customHeight="1">
      <c r="A12" s="62"/>
      <c r="B12" s="62"/>
      <c r="C12" s="62"/>
      <c r="D12" s="62"/>
      <c r="E12" s="62"/>
      <c r="F12" s="62"/>
      <c r="G12" s="62"/>
      <c r="H12" s="62"/>
      <c r="I12" s="62"/>
      <c r="J12" s="62"/>
    </row>
    <row r="13" ht="12.75" customHeight="1">
      <c r="A13" s="81" t="s">
        <v>146</v>
      </c>
      <c r="B13" s="5"/>
      <c r="C13" s="5"/>
      <c r="D13" s="5"/>
      <c r="E13" s="5"/>
      <c r="F13" s="5"/>
      <c r="G13" s="5"/>
      <c r="H13" s="5"/>
      <c r="I13" s="5"/>
      <c r="J13" s="5"/>
    </row>
    <row r="14" ht="12.75" customHeight="1">
      <c r="A14" s="62"/>
      <c r="B14" s="62"/>
      <c r="C14" s="62"/>
      <c r="D14" s="62"/>
      <c r="E14" s="62"/>
      <c r="F14" s="62"/>
      <c r="G14" s="62"/>
      <c r="H14" s="62"/>
      <c r="I14" s="62"/>
      <c r="J14" s="62"/>
    </row>
    <row r="15" ht="12.75" customHeight="1">
      <c r="A15" s="81" t="s">
        <v>147</v>
      </c>
      <c r="B15" s="5"/>
      <c r="C15" s="5"/>
      <c r="D15" s="5"/>
      <c r="E15" s="5"/>
      <c r="F15" s="5"/>
      <c r="G15" s="5"/>
      <c r="H15" s="5"/>
      <c r="I15" s="5"/>
      <c r="J15" s="5"/>
    </row>
    <row r="16" ht="12.75" customHeight="1">
      <c r="A16" s="62"/>
      <c r="B16" s="62"/>
      <c r="C16" s="62"/>
      <c r="D16" s="62"/>
      <c r="E16" s="62"/>
      <c r="F16" s="62"/>
      <c r="G16" s="62"/>
      <c r="H16" s="62"/>
      <c r="I16" s="62"/>
      <c r="J16" s="62"/>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75"/>
    <col customWidth="1" min="2" max="2" width="25.75"/>
    <col customWidth="1" min="3" max="3" width="23.63"/>
    <col customWidth="1" min="4" max="4" width="21.5"/>
  </cols>
  <sheetData>
    <row r="1">
      <c r="A1" s="109" t="s">
        <v>208</v>
      </c>
      <c r="B1" s="110"/>
      <c r="C1" s="110"/>
      <c r="D1" s="110"/>
    </row>
    <row r="2">
      <c r="A2" s="109" t="s">
        <v>209</v>
      </c>
      <c r="B2" s="109" t="s">
        <v>210</v>
      </c>
      <c r="C2" s="109" t="s">
        <v>211</v>
      </c>
      <c r="D2" s="109" t="s">
        <v>212</v>
      </c>
    </row>
    <row r="3">
      <c r="A3" s="109" t="s">
        <v>213</v>
      </c>
      <c r="B3" s="111">
        <v>6657842.0</v>
      </c>
      <c r="C3" s="112">
        <v>332968.0</v>
      </c>
      <c r="D3" s="112">
        <v>41621.0</v>
      </c>
    </row>
    <row r="4">
      <c r="A4" s="109" t="s">
        <v>214</v>
      </c>
      <c r="B4" s="111">
        <v>5136050.0</v>
      </c>
      <c r="C4" s="112">
        <v>256872.0</v>
      </c>
      <c r="D4" s="112">
        <v>32109.0</v>
      </c>
    </row>
    <row r="5">
      <c r="A5" s="109" t="s">
        <v>215</v>
      </c>
      <c r="B5" s="111">
        <v>2413245.0</v>
      </c>
      <c r="C5" s="112">
        <v>385187.0</v>
      </c>
      <c r="D5" s="112">
        <v>30530.0</v>
      </c>
    </row>
    <row r="6">
      <c r="A6" s="109" t="s">
        <v>216</v>
      </c>
      <c r="B6" s="111">
        <v>3500000.0</v>
      </c>
      <c r="C6" s="112">
        <v>116666.0</v>
      </c>
      <c r="D6" s="112">
        <v>14583.0</v>
      </c>
    </row>
    <row r="7">
      <c r="A7" s="110"/>
      <c r="B7" s="110"/>
      <c r="C7" s="110"/>
      <c r="D7" s="110"/>
    </row>
    <row r="8">
      <c r="A8" s="109" t="s">
        <v>217</v>
      </c>
      <c r="B8" s="111">
        <f t="shared" ref="B8:D8" si="1">B3+B4+B5+B6</f>
        <v>17707137</v>
      </c>
      <c r="C8" s="112">
        <f t="shared" si="1"/>
        <v>1091693</v>
      </c>
      <c r="D8" s="112">
        <f t="shared" si="1"/>
        <v>118843</v>
      </c>
    </row>
    <row r="11">
      <c r="A11" s="109" t="s">
        <v>218</v>
      </c>
      <c r="B11" s="110"/>
      <c r="C11" s="110"/>
      <c r="D11" s="110"/>
    </row>
    <row r="12">
      <c r="A12" s="109" t="s">
        <v>209</v>
      </c>
      <c r="B12" s="109" t="s">
        <v>210</v>
      </c>
      <c r="C12" s="109" t="s">
        <v>211</v>
      </c>
      <c r="D12" s="109" t="s">
        <v>212</v>
      </c>
    </row>
    <row r="13">
      <c r="A13" s="109" t="s">
        <v>213</v>
      </c>
      <c r="B13" s="111">
        <v>1623500.0</v>
      </c>
      <c r="C13" s="112">
        <v>47450.0</v>
      </c>
      <c r="D13" s="112">
        <v>6189.0</v>
      </c>
    </row>
    <row r="14">
      <c r="A14" s="109" t="s">
        <v>214</v>
      </c>
      <c r="B14" s="111">
        <v>1623500.0</v>
      </c>
      <c r="C14" s="112">
        <v>47450.0</v>
      </c>
      <c r="D14" s="112">
        <v>6189.0</v>
      </c>
    </row>
    <row r="15">
      <c r="A15" s="109" t="s">
        <v>215</v>
      </c>
      <c r="B15" s="111">
        <v>1623500.0</v>
      </c>
      <c r="C15" s="112">
        <v>47450.0</v>
      </c>
      <c r="D15" s="112">
        <v>6189.0</v>
      </c>
    </row>
    <row r="16">
      <c r="A16" s="109" t="s">
        <v>216</v>
      </c>
      <c r="B16" s="111">
        <v>1623500.0</v>
      </c>
      <c r="C16" s="112">
        <v>47450.0</v>
      </c>
      <c r="D16" s="112">
        <v>6189.0</v>
      </c>
    </row>
    <row r="17">
      <c r="A17" s="110"/>
      <c r="B17" s="110"/>
      <c r="C17" s="110"/>
      <c r="D17" s="110"/>
    </row>
    <row r="18">
      <c r="A18" s="109" t="s">
        <v>217</v>
      </c>
      <c r="B18" s="111">
        <f t="shared" ref="B18:D18" si="2">B13+B14+B15+B16</f>
        <v>6494000</v>
      </c>
      <c r="C18" s="112">
        <f t="shared" si="2"/>
        <v>189800</v>
      </c>
      <c r="D18" s="112">
        <f t="shared" si="2"/>
        <v>24756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7.88"/>
  </cols>
  <sheetData>
    <row r="1">
      <c r="A1" s="109" t="s">
        <v>219</v>
      </c>
      <c r="B1" s="110"/>
      <c r="C1" s="110"/>
      <c r="D1" s="110"/>
      <c r="E1" s="110"/>
    </row>
    <row r="2">
      <c r="A2" s="113" t="s">
        <v>220</v>
      </c>
      <c r="B2" s="109" t="s">
        <v>221</v>
      </c>
      <c r="C2" s="109" t="s">
        <v>222</v>
      </c>
      <c r="D2" s="109" t="s">
        <v>223</v>
      </c>
      <c r="E2" s="109" t="s">
        <v>224</v>
      </c>
    </row>
    <row r="3">
      <c r="A3" s="109" t="s">
        <v>225</v>
      </c>
      <c r="B3" s="109" t="s">
        <v>226</v>
      </c>
      <c r="C3" s="112">
        <v>1623500.0</v>
      </c>
      <c r="D3" s="112">
        <v>47450.0</v>
      </c>
      <c r="E3" s="112">
        <v>6189.0</v>
      </c>
    </row>
    <row r="4">
      <c r="A4" s="109" t="s">
        <v>227</v>
      </c>
      <c r="B4" s="109" t="s">
        <v>228</v>
      </c>
      <c r="C4" s="112">
        <v>1623500.0</v>
      </c>
      <c r="D4" s="112">
        <v>47450.0</v>
      </c>
      <c r="E4" s="112">
        <v>6189.0</v>
      </c>
    </row>
    <row r="5">
      <c r="A5" s="109" t="s">
        <v>229</v>
      </c>
      <c r="B5" s="109" t="s">
        <v>226</v>
      </c>
      <c r="C5" s="112">
        <v>1623500.0</v>
      </c>
      <c r="D5" s="112">
        <v>47450.0</v>
      </c>
      <c r="E5" s="112">
        <v>6189.0</v>
      </c>
    </row>
    <row r="6">
      <c r="A6" s="109" t="s">
        <v>230</v>
      </c>
      <c r="B6" s="109" t="s">
        <v>231</v>
      </c>
      <c r="C6" s="112">
        <v>1623500.0</v>
      </c>
      <c r="D6" s="112">
        <v>47450.0</v>
      </c>
      <c r="E6" s="112">
        <v>6189.0</v>
      </c>
    </row>
    <row r="7">
      <c r="A7" s="109" t="s">
        <v>232</v>
      </c>
      <c r="B7" s="109" t="s">
        <v>233</v>
      </c>
      <c r="C7" s="112">
        <v>1623500.0</v>
      </c>
      <c r="D7" s="112">
        <v>47450.0</v>
      </c>
      <c r="E7" s="112">
        <v>6189.0</v>
      </c>
    </row>
    <row r="9">
      <c r="A9" s="109" t="s">
        <v>234</v>
      </c>
      <c r="B9" s="110"/>
      <c r="C9" s="112">
        <f t="shared" ref="C9:E9" si="1">C3+C4+C5+C6+C7</f>
        <v>8117500</v>
      </c>
      <c r="D9" s="112">
        <f t="shared" si="1"/>
        <v>237250</v>
      </c>
      <c r="E9" s="112">
        <f t="shared" si="1"/>
        <v>30945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21.5"/>
  </cols>
  <sheetData>
    <row r="1">
      <c r="A1" s="109" t="s">
        <v>235</v>
      </c>
      <c r="B1" s="110"/>
      <c r="C1" s="110"/>
    </row>
    <row r="2">
      <c r="A2" s="109" t="s">
        <v>209</v>
      </c>
      <c r="B2" s="109" t="s">
        <v>236</v>
      </c>
      <c r="C2" s="109" t="s">
        <v>237</v>
      </c>
    </row>
    <row r="3">
      <c r="A3" s="109" t="s">
        <v>238</v>
      </c>
      <c r="B3" s="111">
        <v>541166.66</v>
      </c>
      <c r="C3" s="111">
        <v>1623500.0</v>
      </c>
    </row>
    <row r="4">
      <c r="A4" s="109" t="s">
        <v>239</v>
      </c>
      <c r="B4" s="111">
        <v>541166.66</v>
      </c>
      <c r="C4" s="111">
        <v>1623500.0</v>
      </c>
    </row>
    <row r="5">
      <c r="A5" s="109" t="s">
        <v>240</v>
      </c>
      <c r="B5" s="111">
        <v>541166.66</v>
      </c>
      <c r="C5" s="111">
        <v>1623500.0</v>
      </c>
    </row>
    <row r="6">
      <c r="A6" s="110"/>
      <c r="B6" s="110"/>
      <c r="C6" s="110"/>
    </row>
    <row r="7">
      <c r="A7" s="109" t="s">
        <v>241</v>
      </c>
      <c r="B7" s="111">
        <f>B3+B4+B5</f>
        <v>1623499.98</v>
      </c>
      <c r="C7" s="114">
        <f>C3*6</f>
        <v>9741000</v>
      </c>
    </row>
    <row r="8">
      <c r="C8" s="11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15.63"/>
  </cols>
  <sheetData>
    <row r="1">
      <c r="A1" s="109" t="s">
        <v>242</v>
      </c>
      <c r="B1" s="110"/>
    </row>
    <row r="2">
      <c r="A2" s="109" t="s">
        <v>209</v>
      </c>
      <c r="B2" s="109" t="s">
        <v>222</v>
      </c>
      <c r="D2" s="116" t="s">
        <v>243</v>
      </c>
    </row>
    <row r="3">
      <c r="A3" s="109" t="s">
        <v>244</v>
      </c>
      <c r="B3" s="111">
        <v>268833.33</v>
      </c>
      <c r="D3" s="116" t="s">
        <v>245</v>
      </c>
    </row>
    <row r="4">
      <c r="A4" s="109" t="s">
        <v>246</v>
      </c>
      <c r="B4" s="111">
        <v>268833.34</v>
      </c>
    </row>
    <row r="5">
      <c r="A5" s="109" t="s">
        <v>247</v>
      </c>
      <c r="B5" s="111">
        <v>268833.35</v>
      </c>
    </row>
    <row r="6">
      <c r="A6" s="110"/>
      <c r="B6" s="110"/>
    </row>
    <row r="7">
      <c r="A7" s="109" t="s">
        <v>248</v>
      </c>
      <c r="B7" s="112">
        <f>B3+B4+B5</f>
        <v>806500.02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13"/>
  </cols>
  <sheetData>
    <row r="1">
      <c r="A1" s="109" t="s">
        <v>218</v>
      </c>
      <c r="B1" s="110"/>
    </row>
    <row r="2">
      <c r="A2" s="109" t="s">
        <v>209</v>
      </c>
      <c r="B2" s="109" t="s">
        <v>249</v>
      </c>
    </row>
    <row r="3">
      <c r="A3" s="109" t="s">
        <v>213</v>
      </c>
      <c r="B3" s="117" t="s">
        <v>250</v>
      </c>
    </row>
    <row r="4">
      <c r="A4" s="109" t="s">
        <v>214</v>
      </c>
      <c r="B4" s="117" t="s">
        <v>251</v>
      </c>
    </row>
    <row r="5">
      <c r="A5" s="109" t="s">
        <v>215</v>
      </c>
      <c r="B5" s="118" t="s">
        <v>252</v>
      </c>
    </row>
    <row r="6">
      <c r="A6" s="109" t="s">
        <v>216</v>
      </c>
      <c r="B6" s="118" t="s">
        <v>253</v>
      </c>
    </row>
  </sheetData>
  <hyperlinks>
    <hyperlink r:id="rId1" ref="B3"/>
    <hyperlink r:id="rId2" ref="B4"/>
    <hyperlink r:id="rId3" ref="B5"/>
    <hyperlink r:id="rId4" ref="B6"/>
  </hyperlinks>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17.75"/>
    <col customWidth="1" min="4" max="4" width="27.5"/>
    <col customWidth="1" min="5" max="5" width="16.0"/>
    <col customWidth="1" min="9" max="9" width="15.13"/>
    <col customWidth="1" min="10" max="10" width="16.25"/>
    <col customWidth="1" min="11" max="11" width="17.38"/>
  </cols>
  <sheetData>
    <row r="1">
      <c r="D1" s="119" t="s">
        <v>254</v>
      </c>
      <c r="K1" s="120" t="s">
        <v>255</v>
      </c>
    </row>
    <row r="3">
      <c r="B3" s="121" t="s">
        <v>256</v>
      </c>
      <c r="C3" s="121" t="s">
        <v>257</v>
      </c>
      <c r="D3" s="121" t="s">
        <v>258</v>
      </c>
      <c r="E3" s="121" t="s">
        <v>259</v>
      </c>
      <c r="F3" s="121" t="s">
        <v>260</v>
      </c>
      <c r="I3" s="122" t="s">
        <v>261</v>
      </c>
      <c r="J3" s="122" t="s">
        <v>262</v>
      </c>
      <c r="K3" s="122" t="s">
        <v>263</v>
      </c>
      <c r="L3" s="122" t="s">
        <v>264</v>
      </c>
      <c r="M3" s="123" t="s">
        <v>265</v>
      </c>
      <c r="N3" s="123" t="s">
        <v>266</v>
      </c>
    </row>
    <row r="4">
      <c r="B4" s="124">
        <v>1.0</v>
      </c>
      <c r="C4" s="125" t="s">
        <v>15</v>
      </c>
      <c r="D4" s="126" t="s">
        <v>267</v>
      </c>
      <c r="E4" s="127">
        <v>310000.0</v>
      </c>
      <c r="F4" s="128">
        <f t="shared" ref="F4:F14" si="1">B4*E4</f>
        <v>310000</v>
      </c>
      <c r="I4" s="129" t="s">
        <v>268</v>
      </c>
      <c r="J4" s="130" t="s">
        <v>269</v>
      </c>
      <c r="K4" s="130" t="s">
        <v>270</v>
      </c>
      <c r="L4" s="129">
        <v>1.0</v>
      </c>
      <c r="M4" s="131">
        <v>2016999.0</v>
      </c>
      <c r="N4" s="131">
        <v>2016999.0</v>
      </c>
    </row>
    <row r="5">
      <c r="B5" s="124">
        <v>1.0</v>
      </c>
      <c r="C5" s="22" t="s">
        <v>77</v>
      </c>
      <c r="D5" s="132" t="s">
        <v>76</v>
      </c>
      <c r="E5" s="127">
        <v>2016999.0</v>
      </c>
      <c r="F5" s="128">
        <f t="shared" si="1"/>
        <v>2016999</v>
      </c>
      <c r="I5" s="129" t="s">
        <v>268</v>
      </c>
      <c r="J5" s="130" t="s">
        <v>271</v>
      </c>
      <c r="K5" s="130" t="s">
        <v>272</v>
      </c>
      <c r="L5" s="129">
        <v>1.0</v>
      </c>
      <c r="M5" s="131">
        <v>1865939.0</v>
      </c>
      <c r="N5" s="131">
        <v>1865939.0</v>
      </c>
    </row>
    <row r="6" ht="68.25" customHeight="1">
      <c r="B6" s="124">
        <v>1.0</v>
      </c>
      <c r="C6" s="133" t="s">
        <v>273</v>
      </c>
      <c r="D6" s="132" t="s">
        <v>104</v>
      </c>
      <c r="E6" s="127">
        <v>1865939.0</v>
      </c>
      <c r="F6" s="128">
        <f t="shared" si="1"/>
        <v>1865939</v>
      </c>
      <c r="I6" s="129" t="s">
        <v>268</v>
      </c>
      <c r="J6" s="129" t="s">
        <v>274</v>
      </c>
      <c r="K6" s="130" t="s">
        <v>275</v>
      </c>
      <c r="L6" s="129">
        <v>1.0</v>
      </c>
      <c r="M6" s="131">
        <v>7842100.0</v>
      </c>
      <c r="N6" s="131">
        <v>7842100.0</v>
      </c>
    </row>
    <row r="7">
      <c r="B7" s="124">
        <v>1.0</v>
      </c>
      <c r="C7" s="72" t="s">
        <v>138</v>
      </c>
      <c r="D7" s="134" t="s">
        <v>137</v>
      </c>
      <c r="E7" s="127">
        <v>42276.0</v>
      </c>
      <c r="F7" s="128">
        <f t="shared" si="1"/>
        <v>42276</v>
      </c>
      <c r="I7" s="129" t="s">
        <v>276</v>
      </c>
      <c r="J7" s="129" t="s">
        <v>277</v>
      </c>
      <c r="K7" s="129" t="s">
        <v>278</v>
      </c>
      <c r="L7" s="129">
        <v>1.0</v>
      </c>
      <c r="M7" s="131">
        <v>42276.0</v>
      </c>
      <c r="N7" s="131">
        <v>42276.0</v>
      </c>
    </row>
    <row r="8">
      <c r="B8" s="124">
        <v>1.0</v>
      </c>
      <c r="C8" s="75" t="s">
        <v>150</v>
      </c>
      <c r="D8" s="134" t="s">
        <v>279</v>
      </c>
      <c r="E8" s="127">
        <v>39900.0</v>
      </c>
      <c r="F8" s="128">
        <f t="shared" si="1"/>
        <v>39900</v>
      </c>
      <c r="I8" s="129" t="s">
        <v>276</v>
      </c>
      <c r="J8" s="129" t="s">
        <v>280</v>
      </c>
      <c r="K8" s="129" t="s">
        <v>281</v>
      </c>
      <c r="L8" s="129">
        <v>1.0</v>
      </c>
      <c r="M8" s="131">
        <v>39900.0</v>
      </c>
      <c r="N8" s="131">
        <v>39900.0</v>
      </c>
    </row>
    <row r="9">
      <c r="B9" s="135">
        <v>1.0</v>
      </c>
      <c r="C9" s="72" t="s">
        <v>160</v>
      </c>
      <c r="D9" s="136" t="s">
        <v>282</v>
      </c>
      <c r="E9" s="127">
        <v>69970.0</v>
      </c>
      <c r="F9" s="128">
        <f t="shared" si="1"/>
        <v>69970</v>
      </c>
      <c r="I9" s="129" t="s">
        <v>276</v>
      </c>
      <c r="J9" s="130" t="s">
        <v>283</v>
      </c>
      <c r="K9" s="129" t="s">
        <v>284</v>
      </c>
      <c r="L9" s="129">
        <v>1.0</v>
      </c>
      <c r="M9" s="131">
        <v>69970.0</v>
      </c>
      <c r="N9" s="131">
        <v>69970.0</v>
      </c>
    </row>
    <row r="10">
      <c r="B10" s="129">
        <v>4.0</v>
      </c>
      <c r="C10" s="129" t="s">
        <v>285</v>
      </c>
      <c r="D10" s="137" t="s">
        <v>210</v>
      </c>
      <c r="E10" s="138">
        <v>1623500.0</v>
      </c>
      <c r="F10" s="128">
        <f t="shared" si="1"/>
        <v>6494000</v>
      </c>
      <c r="I10" s="129" t="s">
        <v>276</v>
      </c>
      <c r="J10" s="129" t="s">
        <v>286</v>
      </c>
      <c r="K10" s="129" t="s">
        <v>287</v>
      </c>
      <c r="L10" s="129">
        <v>1.0</v>
      </c>
      <c r="M10" s="131">
        <v>130139.0</v>
      </c>
      <c r="N10" s="131">
        <v>130139.0</v>
      </c>
    </row>
    <row r="11">
      <c r="B11" s="129">
        <v>1.0</v>
      </c>
      <c r="C11" s="101" t="s">
        <v>178</v>
      </c>
      <c r="D11" s="139" t="s">
        <v>288</v>
      </c>
      <c r="E11" s="138">
        <v>130139.11</v>
      </c>
      <c r="F11" s="128">
        <f t="shared" si="1"/>
        <v>130139.11</v>
      </c>
      <c r="I11" s="129" t="s">
        <v>289</v>
      </c>
      <c r="J11" s="130" t="s">
        <v>15</v>
      </c>
      <c r="K11" s="130" t="s">
        <v>290</v>
      </c>
      <c r="L11" s="129" t="s">
        <v>291</v>
      </c>
      <c r="M11" s="129" t="s">
        <v>291</v>
      </c>
      <c r="N11" s="131">
        <v>0.0</v>
      </c>
    </row>
    <row r="12">
      <c r="B12" s="129">
        <v>1.0</v>
      </c>
      <c r="C12" s="130" t="s">
        <v>292</v>
      </c>
      <c r="D12" s="129" t="s">
        <v>293</v>
      </c>
      <c r="E12" s="138">
        <v>8117500.0</v>
      </c>
      <c r="F12" s="140">
        <f t="shared" si="1"/>
        <v>8117500</v>
      </c>
      <c r="H12" s="141"/>
      <c r="I12" s="129" t="s">
        <v>294</v>
      </c>
      <c r="J12" s="129" t="s">
        <v>285</v>
      </c>
      <c r="K12" s="130" t="s">
        <v>295</v>
      </c>
      <c r="L12" s="129">
        <v>4.0</v>
      </c>
      <c r="M12" s="131">
        <v>1623500.0</v>
      </c>
      <c r="N12" s="131">
        <v>6494000.0</v>
      </c>
    </row>
    <row r="13" ht="25.5" customHeight="1">
      <c r="B13" s="129">
        <v>1.0</v>
      </c>
      <c r="C13" s="130" t="s">
        <v>296</v>
      </c>
      <c r="D13" s="129" t="s">
        <v>297</v>
      </c>
      <c r="E13" s="138">
        <v>1623500.0</v>
      </c>
      <c r="F13" s="140">
        <f t="shared" si="1"/>
        <v>1623500</v>
      </c>
      <c r="I13" s="129" t="s">
        <v>294</v>
      </c>
      <c r="J13" s="129" t="s">
        <v>292</v>
      </c>
      <c r="K13" s="129" t="s">
        <v>298</v>
      </c>
      <c r="L13" s="129">
        <v>1.0</v>
      </c>
      <c r="M13" s="131">
        <v>8117500.0</v>
      </c>
      <c r="N13" s="131">
        <v>8117500.0</v>
      </c>
    </row>
    <row r="14">
      <c r="B14" s="129">
        <v>1.0</v>
      </c>
      <c r="C14" s="129" t="s">
        <v>299</v>
      </c>
      <c r="D14" s="130" t="s">
        <v>300</v>
      </c>
      <c r="E14" s="138">
        <v>806500.0</v>
      </c>
      <c r="F14" s="140">
        <f t="shared" si="1"/>
        <v>806500</v>
      </c>
      <c r="I14" s="129" t="s">
        <v>294</v>
      </c>
      <c r="J14" s="130" t="s">
        <v>301</v>
      </c>
      <c r="K14" s="129" t="s">
        <v>302</v>
      </c>
      <c r="L14" s="129">
        <v>1.0</v>
      </c>
      <c r="M14" s="131">
        <v>1623500.0</v>
      </c>
      <c r="N14" s="131">
        <v>1623500.0</v>
      </c>
    </row>
    <row r="15">
      <c r="I15" s="129" t="s">
        <v>294</v>
      </c>
      <c r="J15" s="142" t="s">
        <v>303</v>
      </c>
      <c r="K15" s="142" t="s">
        <v>304</v>
      </c>
      <c r="L15" s="143">
        <v>1.0</v>
      </c>
      <c r="M15" s="144">
        <v>806500.0</v>
      </c>
      <c r="N15" s="144">
        <v>806500.0</v>
      </c>
    </row>
    <row r="17">
      <c r="D17" s="145" t="s">
        <v>305</v>
      </c>
      <c r="E17" s="146">
        <f>SUM(F4+F5+F6+F7+F8+F9+F10+F11+F12+F13+F14)</f>
        <v>21516723.11</v>
      </c>
      <c r="I17" s="147"/>
      <c r="J17" s="147"/>
      <c r="K17" s="122" t="s">
        <v>306</v>
      </c>
      <c r="L17" s="122" t="s">
        <v>307</v>
      </c>
    </row>
    <row r="18">
      <c r="I18" s="148"/>
      <c r="J18" s="149"/>
      <c r="K18" s="150" t="s">
        <v>308</v>
      </c>
      <c r="L18" s="151">
        <v>2.1516723E7</v>
      </c>
    </row>
    <row r="19">
      <c r="I19" s="148"/>
      <c r="J19" s="152"/>
      <c r="K19" s="150" t="s">
        <v>309</v>
      </c>
      <c r="L19" s="153" t="s">
        <v>310</v>
      </c>
    </row>
    <row r="20">
      <c r="I20" s="148"/>
      <c r="J20" s="149"/>
      <c r="K20" s="150" t="s">
        <v>311</v>
      </c>
      <c r="L20" s="151">
        <v>7842100.0</v>
      </c>
    </row>
    <row r="21">
      <c r="I21" s="148"/>
      <c r="J21" s="149"/>
      <c r="K21" s="150" t="s">
        <v>312</v>
      </c>
      <c r="L21" s="151">
        <v>2.9048823E7</v>
      </c>
    </row>
  </sheetData>
  <hyperlinks>
    <hyperlink r:id="rId1" ref="D4"/>
    <hyperlink r:id="rId2" ref="D5"/>
    <hyperlink r:id="rId3" ref="D6"/>
    <hyperlink r:id="rId4" ref="D7"/>
    <hyperlink r:id="rId5" ref="D8"/>
    <hyperlink r:id="rId6" ref="D9"/>
    <hyperlink r:id="rId7" ref="D11"/>
  </hyperlinks>
  <printOptions gridLines="1" horizontalCentered="1"/>
  <pageMargins bottom="0.75" footer="0.0" header="0.0" left="0.7" right="0.7" top="0.75"/>
  <pageSetup fitToHeight="0" paperSize="9" cellComments="atEnd" orientation="landscape" pageOrder="overThenDown"/>
  <drawing r:id="rId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2025-11-22T01:37:00Z</dcterms:created>
  <dc:creator>Nicolas Tocora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0DE44AE632EE4444BAE402A1FC102C3A_13</vt:lpwstr>
  </property>
  <property fmtid="{D5CDD505-2E9C-101B-9397-08002B2CF9AE}" pid="3" name="KSOProductBuildVer">
    <vt:lpwstr>3082-12.2.0.23155</vt:lpwstr>
  </property>
</Properties>
</file>